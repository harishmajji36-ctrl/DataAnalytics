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ARISH\Downloads\"/>
    </mc:Choice>
  </mc:AlternateContent>
  <xr:revisionPtr revIDLastSave="0" documentId="8_{58159158-4E98-4103-8E3F-A6880F00F7A5}" xr6:coauthVersionLast="47" xr6:coauthVersionMax="47" xr10:uidLastSave="{00000000-0000-0000-0000-000000000000}"/>
  <bookViews>
    <workbookView xWindow="-108" yWindow="-108" windowWidth="23256" windowHeight="12456" activeTab="1" xr2:uid="{00000000-000D-0000-FFFF-FFFF00000000}"/>
  </bookViews>
  <sheets>
    <sheet name="Sheet3" sheetId="3" r:id="rId1"/>
    <sheet name=" Dashboard" sheetId="4" r:id="rId2"/>
    <sheet name="Sheet2" sheetId="2" r:id="rId3"/>
  </sheets>
  <definedNames>
    <definedName name="Slicer_Actual_amount">#N/A</definedName>
    <definedName name="Slicer_Category">#N/A</definedName>
    <definedName name="Slicer_Discription">#N/A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 l="1"/>
  <c r="H34" i="2"/>
  <c r="H28" i="2"/>
  <c r="H24" i="2"/>
  <c r="H20" i="2"/>
  <c r="H16" i="2"/>
</calcChain>
</file>

<file path=xl/sharedStrings.xml><?xml version="1.0" encoding="utf-8"?>
<sst xmlns="http://schemas.openxmlformats.org/spreadsheetml/2006/main" count="252" uniqueCount="47">
  <si>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</si>
  <si>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</si>
  <si>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</si>
  <si>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</si>
  <si>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</si>
  <si>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</si>
  <si>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</si>
  <si>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</si>
  <si>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</si>
  <si>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</si>
  <si>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</si>
  <si>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</si>
  <si>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</si>
  <si>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</si>
  <si>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</si>
  <si>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</si>
  <si>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</si>
  <si>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</si>
  <si>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</si>
  <si>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</si>
  <si>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</si>
  <si>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</si>
  <si>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</si>
  <si>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</si>
  <si>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</si>
  <si>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</si>
  <si>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</si>
  <si>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</si>
  <si>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</si>
  <si>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</si>
  <si>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</si>
  <si>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</si>
  <si>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</si>
  <si>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</si>
  <si>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</si>
  <si>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</si>
  <si>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</si>
  <si>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</si>
  <si>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</si>
  <si>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</si>
  <si>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</si>
  <si>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</si>
  <si>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</si>
  <si>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</si>
  <si>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</si>
  <si>
    <t>Count of Month</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</si>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</sst>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sz val="11"/>
      <color theme="4" tint="-0.249977111117893"/>
      <name val="Calibri"/>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4" tint="0.79998168889431442"/>
        <bgColor theme="4" tint="0.79998168889431442"/>
      </patternFill>
    </fill>
    <fill>
      <patternFill patternType="solid">
        <fgColor theme="3" tint="0.89999084444715716"/>
        <bgColor indexed="64"/>
      </patternFill>
    </fill>
  </fills>
  <borders count="2">
    <border>
      <left/>
      <right/>
      <top/>
      <bottom/>
      <diagonal/>
    </border>
    <border>
      <left/>
      <right/>
      <top/>
      <bottom style="thin">
        <color theme="4"/>
      </bottom>
      <diagonal/>
    </border>
  </borders>
  <cellStyleXfs count="1">
    <xf numFmtId="0" fontId="0" fillId="0" borderId="0"/>
  </cellStyleXfs>
  <cellXfs count="14">
    <xf numFmtId="0" fontId="0" fillId="0" borderId="0" xfId="0"/>
    <xf numFmtId="0" fontId="2" fillId="2" borderId="0" xfId="0" applyFont="1" applyFill="1"/>
    <xf numFmtId="0" fontId="1" fillId="2" borderId="0" xfId="0" applyFont="1" applyFill="1"/>
    <xf numFmtId="14" fontId="3" fillId="3" borderId="0" xfId="0" applyNumberFormat="1" applyFont="1" applyFill="1"/>
    <xf numFmtId="0" fontId="3" fillId="3" borderId="0" xfId="0" applyFont="1" applyFill="1"/>
    <xf numFmtId="14" fontId="3" fillId="0" borderId="0" xfId="0" applyNumberFormat="1" applyFont="1"/>
    <xf numFmtId="0" fontId="3" fillId="0" borderId="0" xfId="0" applyFont="1"/>
    <xf numFmtId="0" fontId="1" fillId="2" borderId="0" xfId="0" applyFont="1" applyFill="1" applyAlignment="1">
      <alignment vertical="center"/>
    </xf>
    <xf numFmtId="0" fontId="0" fillId="4" borderId="0" xfId="0" applyFill="1"/>
    <xf numFmtId="0" fontId="0" fillId="2" borderId="0" xfId="0" applyFill="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finance111.xlsx]Sheet3!PivotTable1</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Sheet3!$A$4:$A$10</c:f>
              <c:strCache>
                <c:ptCount val="6"/>
                <c:pt idx="0">
                  <c:v>Entertainment</c:v>
                </c:pt>
                <c:pt idx="1">
                  <c:v>Food</c:v>
                </c:pt>
                <c:pt idx="2">
                  <c:v>Rent</c:v>
                </c:pt>
                <c:pt idx="3">
                  <c:v>Transport</c:v>
                </c:pt>
                <c:pt idx="4">
                  <c:v>Utilities</c:v>
                </c:pt>
                <c:pt idx="5">
                  <c:v>(blank)</c:v>
                </c:pt>
              </c:strCache>
            </c:strRef>
          </c:cat>
          <c:val>
            <c:numRef>
              <c:f>Sheet3!$B$4:$B$10</c:f>
              <c:numCache>
                <c:formatCode>General</c:formatCode>
                <c:ptCount val="6"/>
                <c:pt idx="0">
                  <c:v>28400</c:v>
                </c:pt>
                <c:pt idx="1">
                  <c:v>55800</c:v>
                </c:pt>
                <c:pt idx="2">
                  <c:v>144000</c:v>
                </c:pt>
                <c:pt idx="3">
                  <c:v>36000</c:v>
                </c:pt>
                <c:pt idx="4">
                  <c:v>30800</c:v>
                </c:pt>
              </c:numCache>
            </c:numRef>
          </c:val>
          <c:smooth val="0"/>
          <c:extLst>
            <c:ext xmlns:c16="http://schemas.microsoft.com/office/drawing/2014/chart" uri="{C3380CC4-5D6E-409C-BE32-E72D297353CC}">
              <c16:uniqueId val="{00000000-5952-4FA6-9301-92006D94E664}"/>
            </c:ext>
          </c:extLst>
        </c:ser>
        <c:dLbls>
          <c:showLegendKey val="0"/>
          <c:showVal val="0"/>
          <c:showCatName val="0"/>
          <c:showSerName val="0"/>
          <c:showPercent val="0"/>
          <c:showBubbleSize val="0"/>
        </c:dLbls>
        <c:marker val="1"/>
        <c:smooth val="0"/>
        <c:axId val="493896264"/>
        <c:axId val="493887640"/>
      </c:lineChart>
      <c:catAx>
        <c:axId val="49389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87640"/>
        <c:crosses val="autoZero"/>
        <c:auto val="1"/>
        <c:lblAlgn val="ctr"/>
        <c:lblOffset val="100"/>
        <c:noMultiLvlLbl val="0"/>
      </c:catAx>
      <c:valAx>
        <c:axId val="493887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6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Sheet3!$H$4:$H$17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Sheet3!$I$4:$I$17</c:f>
              <c:numCache>
                <c:formatCode>General</c:formatCode>
                <c:ptCount val="13"/>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0081-45CA-A89F-FE7BBB11994A}"/>
            </c:ext>
          </c:extLst>
        </c:ser>
        <c:dLbls>
          <c:dLblPos val="outEnd"/>
          <c:showLegendKey val="0"/>
          <c:showVal val="1"/>
          <c:showCatName val="0"/>
          <c:showSerName val="0"/>
          <c:showPercent val="0"/>
          <c:showBubbleSize val="0"/>
        </c:dLbls>
        <c:gapWidth val="199"/>
        <c:axId val="547607432"/>
        <c:axId val="547600768"/>
      </c:barChart>
      <c:catAx>
        <c:axId val="547607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7600768"/>
        <c:crosses val="autoZero"/>
        <c:auto val="1"/>
        <c:lblAlgn val="ctr"/>
        <c:lblOffset val="100"/>
        <c:noMultiLvlLbl val="0"/>
      </c:catAx>
      <c:valAx>
        <c:axId val="54760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07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finance111.xlsx]Sheet3!PivotTable2</c:name>
    <c:fmtId val="2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51-4516-9240-C1CF8140C5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2C9-47FD-B657-2C7E65A4F2F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2C9-47FD-B657-2C7E65A4F2F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2C9-47FD-B657-2C7E65A4F2F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2C9-47FD-B657-2C7E65A4F2F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2C9-47FD-B657-2C7E65A4F2F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2C9-47FD-B657-2C7E65A4F2F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2C9-47FD-B657-2C7E65A4F2F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2C9-47FD-B657-2C7E65A4F2F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2C9-47FD-B657-2C7E65A4F2F0}"/>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92C9-47FD-B657-2C7E65A4F2F0}"/>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92C9-47FD-B657-2C7E65A4F2F0}"/>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92C9-47FD-B657-2C7E65A4F2F0}"/>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92C9-47FD-B657-2C7E65A4F2F0}"/>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92C9-47FD-B657-2C7E65A4F2F0}"/>
              </c:ext>
            </c:extLst>
          </c:dPt>
          <c:cat>
            <c:strRef>
              <c:f>Sheet3!$D$4:$D$19</c:f>
              <c:strCache>
                <c:ptCount val="15"/>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pt idx="14">
                  <c:v>(blank)</c:v>
                </c:pt>
              </c:strCache>
            </c:strRef>
          </c:cat>
          <c:val>
            <c:numRef>
              <c:f>Sheet3!$E$4:$E$19</c:f>
              <c:numCache>
                <c:formatCode>General</c:formatCode>
                <c:ptCount val="15"/>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2-9451-4516-9240-C1CF8140C5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finance111.xlsx]Sheet3!PivotTable4</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Sheet3!$M$3</c:f>
              <c:strCache>
                <c:ptCount val="1"/>
                <c:pt idx="0">
                  <c:v>Total</c:v>
                </c:pt>
              </c:strCache>
            </c:strRef>
          </c:tx>
          <c:spPr>
            <a:solidFill>
              <a:schemeClr val="accent1"/>
            </a:solidFill>
            <a:ln>
              <a:noFill/>
            </a:ln>
            <a:effectLst/>
          </c:spPr>
          <c:cat>
            <c:strRef>
              <c:f>Sheet3!$L$4:$L$19</c:f>
              <c:strCache>
                <c:ptCount val="15"/>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pt idx="14">
                  <c:v>(blank)</c:v>
                </c:pt>
              </c:strCache>
            </c:strRef>
          </c:cat>
          <c:val>
            <c:numRef>
              <c:f>Sheet3!$M$4:$M$19</c:f>
              <c:numCache>
                <c:formatCode>General</c:formatCode>
                <c:ptCount val="15"/>
                <c:pt idx="0">
                  <c:v>3</c:v>
                </c:pt>
                <c:pt idx="1">
                  <c:v>2</c:v>
                </c:pt>
                <c:pt idx="2">
                  <c:v>11</c:v>
                </c:pt>
                <c:pt idx="3">
                  <c:v>1</c:v>
                </c:pt>
                <c:pt idx="4">
                  <c:v>6</c:v>
                </c:pt>
                <c:pt idx="5">
                  <c:v>12</c:v>
                </c:pt>
                <c:pt idx="6">
                  <c:v>12</c:v>
                </c:pt>
                <c:pt idx="7">
                  <c:v>5</c:v>
                </c:pt>
                <c:pt idx="8">
                  <c:v>2</c:v>
                </c:pt>
                <c:pt idx="9">
                  <c:v>2</c:v>
                </c:pt>
                <c:pt idx="10">
                  <c:v>1</c:v>
                </c:pt>
                <c:pt idx="11">
                  <c:v>1</c:v>
                </c:pt>
                <c:pt idx="12">
                  <c:v>1</c:v>
                </c:pt>
                <c:pt idx="13">
                  <c:v>1</c:v>
                </c:pt>
              </c:numCache>
            </c:numRef>
          </c:val>
          <c:extLst>
            <c:ext xmlns:c16="http://schemas.microsoft.com/office/drawing/2014/chart" uri="{C3380CC4-5D6E-409C-BE32-E72D297353CC}">
              <c16:uniqueId val="{00000000-9C2D-4CF4-A81B-70B505D41122}"/>
            </c:ext>
          </c:extLst>
        </c:ser>
        <c:dLbls>
          <c:showLegendKey val="0"/>
          <c:showVal val="0"/>
          <c:showCatName val="0"/>
          <c:showSerName val="0"/>
          <c:showPercent val="0"/>
          <c:showBubbleSize val="0"/>
        </c:dLbls>
        <c:axId val="547609000"/>
        <c:axId val="547600376"/>
      </c:areaChart>
      <c:catAx>
        <c:axId val="547609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00376"/>
        <c:crosses val="autoZero"/>
        <c:auto val="1"/>
        <c:lblAlgn val="ctr"/>
        <c:lblOffset val="100"/>
        <c:noMultiLvlLbl val="0"/>
      </c:catAx>
      <c:valAx>
        <c:axId val="54760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090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finance111.xlsx]Sheet3!PivotTable1</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Entertainment</c:v>
                </c:pt>
                <c:pt idx="1">
                  <c:v>Food</c:v>
                </c:pt>
                <c:pt idx="2">
                  <c:v>Rent</c:v>
                </c:pt>
                <c:pt idx="3">
                  <c:v>Transport</c:v>
                </c:pt>
                <c:pt idx="4">
                  <c:v>Utilities</c:v>
                </c:pt>
                <c:pt idx="5">
                  <c:v>(blank)</c:v>
                </c:pt>
              </c:strCache>
            </c:strRef>
          </c:cat>
          <c:val>
            <c:numRef>
              <c:f>Sheet3!$B$4:$B$10</c:f>
              <c:numCache>
                <c:formatCode>General</c:formatCode>
                <c:ptCount val="6"/>
                <c:pt idx="0">
                  <c:v>28400</c:v>
                </c:pt>
                <c:pt idx="1">
                  <c:v>55800</c:v>
                </c:pt>
                <c:pt idx="2">
                  <c:v>144000</c:v>
                </c:pt>
                <c:pt idx="3">
                  <c:v>36000</c:v>
                </c:pt>
                <c:pt idx="4">
                  <c:v>30800</c:v>
                </c:pt>
              </c:numCache>
            </c:numRef>
          </c:val>
          <c:smooth val="0"/>
          <c:extLst>
            <c:ext xmlns:c16="http://schemas.microsoft.com/office/drawing/2014/chart" uri="{C3380CC4-5D6E-409C-BE32-E72D297353CC}">
              <c16:uniqueId val="{00000000-2902-4E32-8AAE-86431FB019E2}"/>
            </c:ext>
          </c:extLst>
        </c:ser>
        <c:dLbls>
          <c:dLblPos val="t"/>
          <c:showLegendKey val="0"/>
          <c:showVal val="1"/>
          <c:showCatName val="0"/>
          <c:showSerName val="0"/>
          <c:showPercent val="0"/>
          <c:showBubbleSize val="0"/>
        </c:dLbls>
        <c:marker val="1"/>
        <c:smooth val="0"/>
        <c:axId val="493894304"/>
        <c:axId val="493902928"/>
      </c:lineChart>
      <c:catAx>
        <c:axId val="49389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02928"/>
        <c:crosses val="autoZero"/>
        <c:auto val="1"/>
        <c:lblAlgn val="ctr"/>
        <c:lblOffset val="100"/>
        <c:noMultiLvlLbl val="0"/>
      </c:catAx>
      <c:valAx>
        <c:axId val="49390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4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finance111.xlsx]Sheet3!PivotTable3</c:name>
    <c:fmtId val="7"/>
  </c:pivotSource>
  <c:chart>
    <c:autoTitleDeleted val="1"/>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Sheet3!$H$4:$H$17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Sheet3!$I$4:$I$17</c:f>
              <c:numCache>
                <c:formatCode>General</c:formatCode>
                <c:ptCount val="13"/>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A9F9-4BE9-80C0-E9ABB97BEBEA}"/>
            </c:ext>
          </c:extLst>
        </c:ser>
        <c:dLbls>
          <c:dLblPos val="outEnd"/>
          <c:showLegendKey val="0"/>
          <c:showVal val="1"/>
          <c:showCatName val="0"/>
          <c:showSerName val="0"/>
          <c:showPercent val="0"/>
          <c:showBubbleSize val="0"/>
        </c:dLbls>
        <c:gapWidth val="199"/>
        <c:axId val="489788992"/>
        <c:axId val="489787032"/>
      </c:barChart>
      <c:catAx>
        <c:axId val="48978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89787032"/>
        <c:crosses val="autoZero"/>
        <c:auto val="1"/>
        <c:lblAlgn val="ctr"/>
        <c:lblOffset val="100"/>
        <c:noMultiLvlLbl val="0"/>
      </c:catAx>
      <c:valAx>
        <c:axId val="489787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788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finance111.xlsx]Sheet3!PivotTable2</c:name>
    <c:fmtId val="2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AB-4512-AA34-78F6991975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AB-4512-AA34-78F6991975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AB-4512-AA34-78F6991975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AB-4512-AA34-78F69919753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BAB-4512-AA34-78F69919753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BAB-4512-AA34-78F69919753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BAB-4512-AA34-78F69919753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BAB-4512-AA34-78F69919753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BAB-4512-AA34-78F69919753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BAB-4512-AA34-78F69919753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BAB-4512-AA34-78F69919753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BAB-4512-AA34-78F69919753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BAB-4512-AA34-78F699197536}"/>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BAB-4512-AA34-78F699197536}"/>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BAB-4512-AA34-78F6991975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Sheet3!$D$4:$D$19</c:f>
              <c:strCache>
                <c:ptCount val="15"/>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pt idx="14">
                  <c:v>(blank)</c:v>
                </c:pt>
              </c:strCache>
            </c:strRef>
          </c:cat>
          <c:val>
            <c:numRef>
              <c:f>Sheet3!$E$4:$E$19</c:f>
              <c:numCache>
                <c:formatCode>General</c:formatCode>
                <c:ptCount val="15"/>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1E-BBAB-4512-AA34-78F6991975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finance111.xlsx]Sheet3!PivotTable4</c:name>
    <c:fmtId val="3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Sheet3!$M$3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Sheet3!$L$4:$L$19</c:f>
              <c:strCache>
                <c:ptCount val="15"/>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pt idx="14">
                  <c:v>(blank)</c:v>
                </c:pt>
              </c:strCache>
            </c:strRef>
          </c:cat>
          <c:val>
            <c:numRef>
              <c:f>Sheet3!$M$4:$M$19</c:f>
              <c:numCache>
                <c:formatCode>General</c:formatCode>
                <c:ptCount val="15"/>
                <c:pt idx="0">
                  <c:v>3</c:v>
                </c:pt>
                <c:pt idx="1">
                  <c:v>2</c:v>
                </c:pt>
                <c:pt idx="2">
                  <c:v>11</c:v>
                </c:pt>
                <c:pt idx="3">
                  <c:v>1</c:v>
                </c:pt>
                <c:pt idx="4">
                  <c:v>6</c:v>
                </c:pt>
                <c:pt idx="5">
                  <c:v>12</c:v>
                </c:pt>
                <c:pt idx="6">
                  <c:v>12</c:v>
                </c:pt>
                <c:pt idx="7">
                  <c:v>5</c:v>
                </c:pt>
                <c:pt idx="8">
                  <c:v>2</c:v>
                </c:pt>
                <c:pt idx="9">
                  <c:v>2</c:v>
                </c:pt>
                <c:pt idx="10">
                  <c:v>1</c:v>
                </c:pt>
                <c:pt idx="11">
                  <c:v>1</c:v>
                </c:pt>
                <c:pt idx="12">
                  <c:v>1</c:v>
                </c:pt>
                <c:pt idx="13">
                  <c:v>1</c:v>
                </c:pt>
              </c:numCache>
            </c:numRef>
          </c:val>
          <c:extLst>
            <c:ext xmlns:c16="http://schemas.microsoft.com/office/drawing/2014/chart" uri="{C3380CC4-5D6E-409C-BE32-E72D297353CC}">
              <c16:uniqueId val="{00000000-C997-4BC6-8961-D996667821A2}"/>
            </c:ext>
          </c:extLst>
        </c:ser>
        <c:dLbls>
          <c:showLegendKey val="0"/>
          <c:showVal val="1"/>
          <c:showCatName val="0"/>
          <c:showSerName val="0"/>
          <c:showPercent val="0"/>
          <c:showBubbleSize val="0"/>
        </c:dLbls>
        <c:axId val="565636200"/>
        <c:axId val="565640904"/>
      </c:areaChart>
      <c:catAx>
        <c:axId val="565636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40904"/>
        <c:crosses val="autoZero"/>
        <c:auto val="1"/>
        <c:lblAlgn val="ctr"/>
        <c:lblOffset val="100"/>
        <c:noMultiLvlLbl val="0"/>
      </c:catAx>
      <c:valAx>
        <c:axId val="565640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3620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104775</xdr:colOff>
      <xdr:row>24</xdr:row>
      <xdr:rowOff>23812</xdr:rowOff>
    </xdr:from>
    <xdr:to>
      <xdr:col>5</xdr:col>
      <xdr:colOff>533400</xdr:colOff>
      <xdr:row>38</xdr:row>
      <xdr:rowOff>100012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1219200</xdr:colOff>
      <xdr:row>25</xdr:row>
      <xdr:rowOff>166687</xdr:rowOff>
    </xdr:from>
    <xdr:to>
      <xdr:col>10</xdr:col>
      <xdr:colOff>323850</xdr:colOff>
      <xdr:row>40</xdr:row>
      <xdr:rowOff>52387</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809625</xdr:colOff>
      <xdr:row>22</xdr:row>
      <xdr:rowOff>166687</xdr:rowOff>
    </xdr:from>
    <xdr:to>
      <xdr:col>13</xdr:col>
      <xdr:colOff>771525</xdr:colOff>
      <xdr:row>37</xdr:row>
      <xdr:rowOff>52387</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95250</xdr:colOff>
      <xdr:row>19</xdr:row>
      <xdr:rowOff>80962</xdr:rowOff>
    </xdr:from>
    <xdr:to>
      <xdr:col>25</xdr:col>
      <xdr:colOff>428625</xdr:colOff>
      <xdr:row>33</xdr:row>
      <xdr:rowOff>157162</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238125</xdr:colOff>
      <xdr:row>13</xdr:row>
      <xdr:rowOff>28575</xdr:rowOff>
    </xdr:from>
    <xdr:to>
      <xdr:col>4</xdr:col>
      <xdr:colOff>451485</xdr:colOff>
      <xdr:row>26</xdr:row>
      <xdr:rowOff>76200</xdr:rowOff>
    </xdr:to>
    <mc:AlternateContent xmlns:mc="http://schemas.openxmlformats.org/markup-compatibility/2006" xmlns:a14="http://schemas.microsoft.com/office/drawing/2010/main">
      <mc:Choice Requires="a14">
        <xdr:graphicFrame macro="">
          <xdr:nvGraphicFramePr>
            <xdr:cNvPr id="8" name="Actual amount">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2552700" y="250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13</xdr:row>
      <xdr:rowOff>76200</xdr:rowOff>
    </xdr:from>
    <xdr:to>
      <xdr:col>1</xdr:col>
      <xdr:colOff>1320165</xdr:colOff>
      <xdr:row>26</xdr:row>
      <xdr:rowOff>123825</xdr:rowOff>
    </xdr:to>
    <mc:AlternateContent xmlns:mc="http://schemas.openxmlformats.org/markup-compatibility/2006" xmlns:a14="http://schemas.microsoft.com/office/drawing/2010/main">
      <mc:Choice Requires="a14">
        <xdr:graphicFrame macro="">
          <xdr:nvGraphicFramePr>
            <xdr:cNvPr id="9" name="Discription">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333375" y="255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542925</xdr:colOff>
      <xdr:row>12</xdr:row>
      <xdr:rowOff>19050</xdr:rowOff>
    </xdr:from>
    <xdr:to>
      <xdr:col>3</xdr:col>
      <xdr:colOff>419100</xdr:colOff>
      <xdr:row>25</xdr:row>
      <xdr:rowOff>66675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76375" y="2305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209550</xdr:colOff>
      <xdr:row>7</xdr:row>
      <xdr:rowOff>85725</xdr:rowOff>
    </xdr:from>
    <xdr:to>
      <xdr:col>6</xdr:col>
      <xdr:colOff>85725</xdr:colOff>
      <xdr:row>20</xdr:row>
      <xdr:rowOff>133350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10025" y="1419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34017</xdr:colOff>
      <xdr:row>0</xdr:row>
      <xdr:rowOff>8504</xdr:rowOff>
    </xdr:from>
    <xdr:to>
      <xdr:col>15</xdr:col>
      <xdr:colOff>595313</xdr:colOff>
      <xdr:row>5</xdr:row>
      <xdr:rowOff>46604</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34017" y="8504"/>
          <a:ext cx="9746117" cy="97359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solidFill>
                <a:schemeClr val="tx1"/>
              </a:solidFill>
            </a:rPr>
            <a:t>                      Personal</a:t>
          </a:r>
          <a:r>
            <a:rPr lang="en-IN" sz="3600" baseline="0">
              <a:solidFill>
                <a:schemeClr val="tx1"/>
              </a:solidFill>
            </a:rPr>
            <a:t> Finance</a:t>
          </a:r>
          <a:r>
            <a:rPr lang="en-IN" sz="3600"/>
            <a:t>ce</a:t>
          </a:r>
        </a:p>
      </xdr:txBody>
    </xdr:sp>
    <xdr:clientData/>
  </xdr:twoCellAnchor>
  <xdr:twoCellAnchor>
    <xdr:from>
      <xdr:col>0</xdr:col>
      <xdr:colOff>51028</xdr:colOff>
      <xdr:row>6</xdr:row>
      <xdr:rowOff>110558</xdr:rowOff>
    </xdr:from>
    <xdr:to>
      <xdr:col>3</xdr:col>
      <xdr:colOff>433729</xdr:colOff>
      <xdr:row>11</xdr:row>
      <xdr:rowOff>42523</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51028" y="1233147"/>
          <a:ext cx="2219665" cy="86745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78859</xdr:colOff>
      <xdr:row>6</xdr:row>
      <xdr:rowOff>122927</xdr:rowOff>
    </xdr:from>
    <xdr:to>
      <xdr:col>7</xdr:col>
      <xdr:colOff>410535</xdr:colOff>
      <xdr:row>11</xdr:row>
      <xdr:rowOff>54893</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2503404" y="1236239"/>
          <a:ext cx="2150086" cy="85972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13143</xdr:colOff>
      <xdr:row>6</xdr:row>
      <xdr:rowOff>127566</xdr:rowOff>
    </xdr:from>
    <xdr:to>
      <xdr:col>11</xdr:col>
      <xdr:colOff>404348</xdr:colOff>
      <xdr:row>11</xdr:row>
      <xdr:rowOff>59532</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4862234" y="1240878"/>
          <a:ext cx="2209614" cy="85972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59530</xdr:colOff>
      <xdr:row>6</xdr:row>
      <xdr:rowOff>136071</xdr:rowOff>
    </xdr:from>
    <xdr:to>
      <xdr:col>15</xdr:col>
      <xdr:colOff>314666</xdr:colOff>
      <xdr:row>11</xdr:row>
      <xdr:rowOff>51027</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7407387" y="1258660"/>
          <a:ext cx="2092100" cy="850447"/>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64171</xdr:colOff>
      <xdr:row>6</xdr:row>
      <xdr:rowOff>123702</xdr:rowOff>
    </xdr:from>
    <xdr:to>
      <xdr:col>1</xdr:col>
      <xdr:colOff>222663</xdr:colOff>
      <xdr:row>11</xdr:row>
      <xdr:rowOff>37111</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64171" y="1237014"/>
          <a:ext cx="764628" cy="8411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13916</xdr:colOff>
      <xdr:row>6</xdr:row>
      <xdr:rowOff>128340</xdr:rowOff>
    </xdr:from>
    <xdr:to>
      <xdr:col>5</xdr:col>
      <xdr:colOff>160812</xdr:colOff>
      <xdr:row>11</xdr:row>
      <xdr:rowOff>37110</xdr:rowOff>
    </xdr:to>
    <xdr:sp macro="" textlink="">
      <xdr:nvSpPr>
        <xdr:cNvPr id="8" name="Rounded Rectangle 7">
          <a:extLst>
            <a:ext uri="{FF2B5EF4-FFF2-40B4-BE49-F238E27FC236}">
              <a16:creationId xmlns:a16="http://schemas.microsoft.com/office/drawing/2014/main" id="{00000000-0008-0000-0100-000008000000}"/>
            </a:ext>
          </a:extLst>
        </xdr:cNvPr>
        <xdr:cNvSpPr/>
      </xdr:nvSpPr>
      <xdr:spPr>
        <a:xfrm>
          <a:off x="2438461" y="1241652"/>
          <a:ext cx="753033" cy="8365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30154</xdr:colOff>
      <xdr:row>6</xdr:row>
      <xdr:rowOff>136844</xdr:rowOff>
    </xdr:from>
    <xdr:to>
      <xdr:col>9</xdr:col>
      <xdr:colOff>222664</xdr:colOff>
      <xdr:row>11</xdr:row>
      <xdr:rowOff>61850</xdr:rowOff>
    </xdr:to>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4879245" y="1250156"/>
          <a:ext cx="798646" cy="8527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76541</xdr:colOff>
      <xdr:row>6</xdr:row>
      <xdr:rowOff>141484</xdr:rowOff>
    </xdr:from>
    <xdr:to>
      <xdr:col>13</xdr:col>
      <xdr:colOff>210292</xdr:colOff>
      <xdr:row>11</xdr:row>
      <xdr:rowOff>37111</xdr:rowOff>
    </xdr:to>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7350177" y="1254796"/>
          <a:ext cx="739888" cy="8233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136072</xdr:colOff>
      <xdr:row>12</xdr:row>
      <xdr:rowOff>98961</xdr:rowOff>
    </xdr:from>
    <xdr:to>
      <xdr:col>3</xdr:col>
      <xdr:colOff>134093</xdr:colOff>
      <xdr:row>26</xdr:row>
      <xdr:rowOff>5257</xdr:rowOff>
    </xdr:to>
    <mc:AlternateContent xmlns:mc="http://schemas.openxmlformats.org/markup-compatibility/2006" xmlns:a14="http://schemas.microsoft.com/office/drawing/2010/main">
      <mc:Choice Requires="a14">
        <xdr:graphicFrame macro="">
          <xdr:nvGraphicFramePr>
            <xdr:cNvPr id="12" name="Discription 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136072" y="2325584"/>
              <a:ext cx="1816430" cy="250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136071</xdr:colOff>
      <xdr:row>12</xdr:row>
      <xdr:rowOff>61851</xdr:rowOff>
    </xdr:from>
    <xdr:to>
      <xdr:col>16</xdr:col>
      <xdr:colOff>134092</xdr:colOff>
      <xdr:row>25</xdr:row>
      <xdr:rowOff>153699</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015844" y="2288474"/>
              <a:ext cx="1816430" cy="250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123702</xdr:colOff>
      <xdr:row>26</xdr:row>
      <xdr:rowOff>37109</xdr:rowOff>
    </xdr:from>
    <xdr:to>
      <xdr:col>3</xdr:col>
      <xdr:colOff>121723</xdr:colOff>
      <xdr:row>39</xdr:row>
      <xdr:rowOff>128958</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702" y="4861460"/>
              <a:ext cx="1816430" cy="250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123701</xdr:colOff>
      <xdr:row>25</xdr:row>
      <xdr:rowOff>160811</xdr:rowOff>
    </xdr:from>
    <xdr:to>
      <xdr:col>16</xdr:col>
      <xdr:colOff>121722</xdr:colOff>
      <xdr:row>39</xdr:row>
      <xdr:rowOff>67108</xdr:rowOff>
    </xdr:to>
    <mc:AlternateContent xmlns:mc="http://schemas.openxmlformats.org/markup-compatibility/2006" xmlns:a14="http://schemas.microsoft.com/office/drawing/2010/main">
      <mc:Choice Requires="a14">
        <xdr:graphicFrame macro="">
          <xdr:nvGraphicFramePr>
            <xdr:cNvPr id="17" name="Actual amount 1">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mlns="">
        <xdr:sp macro="" textlink="">
          <xdr:nvSpPr>
            <xdr:cNvPr id="0" name=""/>
            <xdr:cNvSpPr>
              <a:spLocks noTextEdit="1"/>
            </xdr:cNvSpPr>
          </xdr:nvSpPr>
          <xdr:spPr>
            <a:xfrm>
              <a:off x="8003474" y="4799610"/>
              <a:ext cx="1816430" cy="250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416717</xdr:colOff>
      <xdr:row>12</xdr:row>
      <xdr:rowOff>85043</xdr:rowOff>
    </xdr:from>
    <xdr:to>
      <xdr:col>13</xdr:col>
      <xdr:colOff>85043</xdr:colOff>
      <xdr:row>39</xdr:row>
      <xdr:rowOff>93549</xdr:rowOff>
    </xdr:to>
    <xdr:sp macro="" textlink="">
      <xdr:nvSpPr>
        <xdr:cNvPr id="18" name="Rectangle 17">
          <a:extLst>
            <a:ext uri="{FF2B5EF4-FFF2-40B4-BE49-F238E27FC236}">
              <a16:creationId xmlns:a16="http://schemas.microsoft.com/office/drawing/2014/main" id="{00000000-0008-0000-0100-000012000000}"/>
            </a:ext>
          </a:extLst>
        </xdr:cNvPr>
        <xdr:cNvSpPr/>
      </xdr:nvSpPr>
      <xdr:spPr>
        <a:xfrm>
          <a:off x="2253681" y="2330222"/>
          <a:ext cx="5791541" cy="506015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467744</xdr:colOff>
      <xdr:row>12</xdr:row>
      <xdr:rowOff>136071</xdr:rowOff>
    </xdr:from>
    <xdr:to>
      <xdr:col>8</xdr:col>
      <xdr:colOff>212612</xdr:colOff>
      <xdr:row>22</xdr:row>
      <xdr:rowOff>85045</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314666</xdr:colOff>
      <xdr:row>12</xdr:row>
      <xdr:rowOff>127566</xdr:rowOff>
    </xdr:from>
    <xdr:to>
      <xdr:col>13</xdr:col>
      <xdr:colOff>22110</xdr:colOff>
      <xdr:row>22</xdr:row>
      <xdr:rowOff>51026</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493257</xdr:colOff>
      <xdr:row>22</xdr:row>
      <xdr:rowOff>102052</xdr:rowOff>
    </xdr:from>
    <xdr:to>
      <xdr:col>8</xdr:col>
      <xdr:colOff>187099</xdr:colOff>
      <xdr:row>35</xdr:row>
      <xdr:rowOff>161584</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348683</xdr:colOff>
      <xdr:row>22</xdr:row>
      <xdr:rowOff>144574</xdr:rowOff>
    </xdr:from>
    <xdr:to>
      <xdr:col>13</xdr:col>
      <xdr:colOff>42522</xdr:colOff>
      <xdr:row>35</xdr:row>
      <xdr:rowOff>93548</xdr:rowOff>
    </xdr:to>
    <xdr:graphicFrame macro="">
      <xdr:nvGraphicFramePr>
        <xdr:cNvPr id="22" name="Chart 2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296883</xdr:colOff>
      <xdr:row>6</xdr:row>
      <xdr:rowOff>173181</xdr:rowOff>
    </xdr:from>
    <xdr:to>
      <xdr:col>3</xdr:col>
      <xdr:colOff>210292</xdr:colOff>
      <xdr:row>8</xdr:row>
      <xdr:rowOff>61850</xdr:rowOff>
    </xdr:to>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903019" y="1286493"/>
          <a:ext cx="1125682" cy="259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expences</a:t>
          </a:r>
        </a:p>
      </xdr:txBody>
    </xdr:sp>
    <xdr:clientData/>
  </xdr:twoCellAnchor>
  <xdr:twoCellAnchor>
    <xdr:from>
      <xdr:col>1</xdr:col>
      <xdr:colOff>298431</xdr:colOff>
      <xdr:row>9</xdr:row>
      <xdr:rowOff>33244</xdr:rowOff>
    </xdr:from>
    <xdr:to>
      <xdr:col>3</xdr:col>
      <xdr:colOff>211840</xdr:colOff>
      <xdr:row>10</xdr:row>
      <xdr:rowOff>107466</xdr:rowOff>
    </xdr:to>
    <xdr:sp macro="" textlink="Sheet2!H11">
      <xdr:nvSpPr>
        <xdr:cNvPr id="25" name="TextBox 24">
          <a:extLst>
            <a:ext uri="{FF2B5EF4-FFF2-40B4-BE49-F238E27FC236}">
              <a16:creationId xmlns:a16="http://schemas.microsoft.com/office/drawing/2014/main" id="{00000000-0008-0000-0100-000019000000}"/>
            </a:ext>
          </a:extLst>
        </xdr:cNvPr>
        <xdr:cNvSpPr txBox="1"/>
      </xdr:nvSpPr>
      <xdr:spPr>
        <a:xfrm>
          <a:off x="904567" y="1703212"/>
          <a:ext cx="1125682" cy="259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CE4BE1-AF53-47BE-A5C6-D84BEFFDDEBC}" type="TxLink">
            <a:rPr lang="en-US" sz="1100" b="0" i="0" u="none" strike="noStrike">
              <a:solidFill>
                <a:srgbClr val="000000"/>
              </a:solidFill>
              <a:latin typeface="Calibri"/>
              <a:cs typeface="Calibri"/>
            </a:rPr>
            <a:pPr/>
            <a:t>259100</a:t>
          </a:fld>
          <a:endParaRPr lang="en-IN" sz="1100"/>
        </a:p>
      </xdr:txBody>
    </xdr:sp>
    <xdr:clientData/>
  </xdr:twoCellAnchor>
  <xdr:twoCellAnchor>
    <xdr:from>
      <xdr:col>5</xdr:col>
      <xdr:colOff>301520</xdr:colOff>
      <xdr:row>7</xdr:row>
      <xdr:rowOff>8502</xdr:rowOff>
    </xdr:from>
    <xdr:to>
      <xdr:col>7</xdr:col>
      <xdr:colOff>214929</xdr:colOff>
      <xdr:row>9</xdr:row>
      <xdr:rowOff>74219</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3332202" y="1307366"/>
          <a:ext cx="1125682" cy="436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expences</a:t>
          </a:r>
          <a:r>
            <a:rPr lang="en-IN" sz="1100" baseline="0"/>
            <a:t> by month</a:t>
          </a:r>
          <a:endParaRPr lang="en-IN" sz="1100"/>
        </a:p>
      </xdr:txBody>
    </xdr:sp>
    <xdr:clientData/>
  </xdr:twoCellAnchor>
  <xdr:oneCellAnchor>
    <xdr:from>
      <xdr:col>5</xdr:col>
      <xdr:colOff>259773</xdr:colOff>
      <xdr:row>9</xdr:row>
      <xdr:rowOff>98960</xdr:rowOff>
    </xdr:from>
    <xdr:ext cx="1125681" cy="264560"/>
    <xdr:sp macro="" textlink="Sheet2!H24">
      <xdr:nvSpPr>
        <xdr:cNvPr id="27" name="TextBox 26">
          <a:extLst>
            <a:ext uri="{FF2B5EF4-FFF2-40B4-BE49-F238E27FC236}">
              <a16:creationId xmlns:a16="http://schemas.microsoft.com/office/drawing/2014/main" id="{00000000-0008-0000-0100-00001B000000}"/>
            </a:ext>
          </a:extLst>
        </xdr:cNvPr>
        <xdr:cNvSpPr txBox="1"/>
      </xdr:nvSpPr>
      <xdr:spPr>
        <a:xfrm>
          <a:off x="3290455" y="1768928"/>
          <a:ext cx="11256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9CCFCBB-E074-4A5F-B978-8BEF6ABB279D}" type="TxLink">
            <a:rPr lang="en-US" sz="1100" b="0" i="0" u="none" strike="noStrike">
              <a:solidFill>
                <a:srgbClr val="000000"/>
              </a:solidFill>
              <a:latin typeface="Calibri"/>
              <a:cs typeface="Calibri"/>
            </a:rPr>
            <a:pPr/>
            <a:t>23900</a:t>
          </a:fld>
          <a:endParaRPr lang="en-IN" sz="1100"/>
        </a:p>
      </xdr:txBody>
    </xdr:sp>
    <xdr:clientData/>
  </xdr:oneCellAnchor>
  <xdr:twoCellAnchor>
    <xdr:from>
      <xdr:col>9</xdr:col>
      <xdr:colOff>322396</xdr:colOff>
      <xdr:row>7</xdr:row>
      <xdr:rowOff>25512</xdr:rowOff>
    </xdr:from>
    <xdr:to>
      <xdr:col>11</xdr:col>
      <xdr:colOff>235805</xdr:colOff>
      <xdr:row>8</xdr:row>
      <xdr:rowOff>99733</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5777623" y="1324376"/>
          <a:ext cx="1125682" cy="259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a:t>
          </a:r>
        </a:p>
      </xdr:txBody>
    </xdr:sp>
    <xdr:clientData/>
  </xdr:twoCellAnchor>
  <xdr:twoCellAnchor>
    <xdr:from>
      <xdr:col>9</xdr:col>
      <xdr:colOff>338725</xdr:colOff>
      <xdr:row>9</xdr:row>
      <xdr:rowOff>103691</xdr:rowOff>
    </xdr:from>
    <xdr:to>
      <xdr:col>11</xdr:col>
      <xdr:colOff>252134</xdr:colOff>
      <xdr:row>10</xdr:row>
      <xdr:rowOff>177913</xdr:rowOff>
    </xdr:to>
    <xdr:sp macro="" textlink="Sheet2!H20">
      <xdr:nvSpPr>
        <xdr:cNvPr id="29" name="TextBox 28">
          <a:extLst>
            <a:ext uri="{FF2B5EF4-FFF2-40B4-BE49-F238E27FC236}">
              <a16:creationId xmlns:a16="http://schemas.microsoft.com/office/drawing/2014/main" id="{00000000-0008-0000-0100-00001D000000}"/>
            </a:ext>
          </a:extLst>
        </xdr:cNvPr>
        <xdr:cNvSpPr txBox="1"/>
      </xdr:nvSpPr>
      <xdr:spPr>
        <a:xfrm>
          <a:off x="5793952" y="1773659"/>
          <a:ext cx="1125682" cy="259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449494-DC2B-4C56-A4BE-9F9ED1F07B4D}" type="TxLink">
            <a:rPr lang="en-US" sz="1100" b="0" i="0" u="none" strike="noStrike">
              <a:solidFill>
                <a:srgbClr val="000000"/>
              </a:solidFill>
              <a:latin typeface="Calibri"/>
              <a:cs typeface="Calibri"/>
            </a:rPr>
            <a:pPr/>
            <a:t>4798.148148</a:t>
          </a:fld>
          <a:endParaRPr lang="en-IN" sz="1100"/>
        </a:p>
      </xdr:txBody>
    </xdr:sp>
    <xdr:clientData/>
  </xdr:twoCellAnchor>
  <xdr:twoCellAnchor>
    <xdr:from>
      <xdr:col>13</xdr:col>
      <xdr:colOff>282192</xdr:colOff>
      <xdr:row>6</xdr:row>
      <xdr:rowOff>182459</xdr:rowOff>
    </xdr:from>
    <xdr:to>
      <xdr:col>15</xdr:col>
      <xdr:colOff>195602</xdr:colOff>
      <xdr:row>9</xdr:row>
      <xdr:rowOff>111331</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8161965" y="1295771"/>
          <a:ext cx="1125682" cy="485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Expence by month</a:t>
          </a:r>
          <a:endParaRPr lang="en-IN" sz="1100"/>
        </a:p>
      </xdr:txBody>
    </xdr:sp>
    <xdr:clientData/>
  </xdr:twoCellAnchor>
  <xdr:twoCellAnchor>
    <xdr:from>
      <xdr:col>13</xdr:col>
      <xdr:colOff>286150</xdr:colOff>
      <xdr:row>9</xdr:row>
      <xdr:rowOff>112195</xdr:rowOff>
    </xdr:from>
    <xdr:to>
      <xdr:col>15</xdr:col>
      <xdr:colOff>199560</xdr:colOff>
      <xdr:row>11</xdr:row>
      <xdr:rowOff>865</xdr:rowOff>
    </xdr:to>
    <xdr:sp macro="" textlink="Sheet2!H34">
      <xdr:nvSpPr>
        <xdr:cNvPr id="31" name="TextBox 30">
          <a:extLst>
            <a:ext uri="{FF2B5EF4-FFF2-40B4-BE49-F238E27FC236}">
              <a16:creationId xmlns:a16="http://schemas.microsoft.com/office/drawing/2014/main" id="{00000000-0008-0000-0100-00001F000000}"/>
            </a:ext>
          </a:extLst>
        </xdr:cNvPr>
        <xdr:cNvSpPr txBox="1"/>
      </xdr:nvSpPr>
      <xdr:spPr>
        <a:xfrm>
          <a:off x="8165923" y="1782163"/>
          <a:ext cx="1125682" cy="259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8AEAE2-3E4D-487C-8D25-64DE6D0FCD3F}" type="TxLink">
            <a:rPr lang="en-US" sz="1100" b="0" i="0" u="none" strike="noStrike">
              <a:solidFill>
                <a:srgbClr val="000000"/>
              </a:solidFill>
              <a:latin typeface="Calibri"/>
              <a:cs typeface="Calibri"/>
            </a:rPr>
            <a:pPr/>
            <a:t>4780</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3.467437500003" createdVersion="5" refreshedVersion="5" minRefreshableVersion="3" recordCount="62" xr:uid="{00000000-000A-0000-FFFF-FFFF08000000}">
  <cacheSource type="worksheet">
    <worksheetSource ref="A1:E63" sheet="Sheet2"/>
  </cacheSource>
  <cacheFields count="5">
    <cacheField name="Date" numFmtId="0">
      <sharedItems containsNonDate="0" containsDate="1" containsString="0" containsBlank="1" minDate="2025-01-05T00:00:00" maxDate="2025-12-27T00:00:00" count="61">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m/>
      </sharedItems>
    </cacheField>
    <cacheField name="Month" numFmtId="0">
      <sharedItems containsBlank="1" count="13">
        <s v="January"/>
        <s v="February"/>
        <s v="March"/>
        <s v="April"/>
        <s v="May"/>
        <s v="June"/>
        <s v="July"/>
        <s v="August"/>
        <s v="September"/>
        <s v="October"/>
        <s v="November"/>
        <s v="December"/>
        <m/>
      </sharedItems>
    </cacheField>
    <cacheField name="Category" numFmtId="0">
      <sharedItems containsBlank="1" count="6">
        <s v="Rent"/>
        <s v="Food"/>
        <s v="Transport"/>
        <s v="Entertainment"/>
        <s v="Utilities"/>
        <m/>
      </sharedItems>
    </cacheField>
    <cacheField name="Discription" numFmtId="0">
      <sharedItems containsBlank="1" count="15">
        <s v="House Rent"/>
        <s v="Groceries"/>
        <s v="Bus&amp;Fuel"/>
        <s v="Movies"/>
        <s v="Electricity bill"/>
        <s v="Water&amp;Power"/>
        <s v="Bus pass"/>
        <s v="Outgoing"/>
        <s v="Fuel"/>
        <s v="Shopping"/>
        <s v="Trip"/>
        <s v="Festival Shopping"/>
        <s v="Travel"/>
        <s v="Year-End Party"/>
        <m/>
      </sharedItems>
    </cacheField>
    <cacheField name="Actual amount" numFmtId="0">
      <sharedItems containsString="0" containsBlank="1" containsNumber="1" containsInteger="1" minValue="1500" maxValue="12000" count="34">
        <n v="12000"/>
        <n v="4200"/>
        <n v="2800"/>
        <n v="2300"/>
        <n v="2600"/>
        <n v="5100"/>
        <n v="3200"/>
        <n v="1900"/>
        <n v="2400"/>
        <n v="3900"/>
        <n v="1500"/>
        <n v="4500"/>
        <n v="3000"/>
        <n v="2200"/>
        <n v="2500"/>
        <n v="4800"/>
        <n v="2900"/>
        <n v="2100"/>
        <n v="5200"/>
        <n v="3300"/>
        <n v="2700"/>
        <n v="4100"/>
        <n v="1800"/>
        <n v="4700"/>
        <n v="3100"/>
        <n v="4300"/>
        <n v="2000"/>
        <n v="5000"/>
        <n v="3500"/>
        <n v="4600"/>
        <n v="5400"/>
        <n v="3600"/>
        <n v="4000"/>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2">
  <r>
    <x v="0"/>
    <x v="0"/>
    <x v="0"/>
    <x v="0"/>
    <x v="0"/>
  </r>
  <r>
    <x v="1"/>
    <x v="0"/>
    <x v="1"/>
    <x v="1"/>
    <x v="1"/>
  </r>
  <r>
    <x v="2"/>
    <x v="0"/>
    <x v="2"/>
    <x v="2"/>
    <x v="2"/>
  </r>
  <r>
    <x v="3"/>
    <x v="0"/>
    <x v="3"/>
    <x v="3"/>
    <x v="3"/>
  </r>
  <r>
    <x v="4"/>
    <x v="0"/>
    <x v="4"/>
    <x v="4"/>
    <x v="4"/>
  </r>
  <r>
    <x v="5"/>
    <x v="1"/>
    <x v="0"/>
    <x v="0"/>
    <x v="0"/>
  </r>
  <r>
    <x v="6"/>
    <x v="1"/>
    <x v="1"/>
    <x v="1"/>
    <x v="5"/>
  </r>
  <r>
    <x v="7"/>
    <x v="1"/>
    <x v="2"/>
    <x v="2"/>
    <x v="6"/>
  </r>
  <r>
    <x v="8"/>
    <x v="1"/>
    <x v="3"/>
    <x v="3"/>
    <x v="7"/>
  </r>
  <r>
    <x v="9"/>
    <x v="1"/>
    <x v="4"/>
    <x v="5"/>
    <x v="8"/>
  </r>
  <r>
    <x v="10"/>
    <x v="2"/>
    <x v="0"/>
    <x v="0"/>
    <x v="0"/>
  </r>
  <r>
    <x v="11"/>
    <x v="2"/>
    <x v="1"/>
    <x v="1"/>
    <x v="9"/>
  </r>
  <r>
    <x v="12"/>
    <x v="2"/>
    <x v="2"/>
    <x v="6"/>
    <x v="4"/>
  </r>
  <r>
    <x v="13"/>
    <x v="2"/>
    <x v="3"/>
    <x v="7"/>
    <x v="10"/>
  </r>
  <r>
    <x v="14"/>
    <x v="2"/>
    <x v="4"/>
    <x v="4"/>
    <x v="3"/>
  </r>
  <r>
    <x v="15"/>
    <x v="3"/>
    <x v="0"/>
    <x v="0"/>
    <x v="0"/>
  </r>
  <r>
    <x v="16"/>
    <x v="3"/>
    <x v="1"/>
    <x v="1"/>
    <x v="11"/>
  </r>
  <r>
    <x v="17"/>
    <x v="3"/>
    <x v="2"/>
    <x v="8"/>
    <x v="12"/>
  </r>
  <r>
    <x v="18"/>
    <x v="3"/>
    <x v="3"/>
    <x v="3"/>
    <x v="13"/>
  </r>
  <r>
    <x v="19"/>
    <x v="3"/>
    <x v="4"/>
    <x v="4"/>
    <x v="14"/>
  </r>
  <r>
    <x v="20"/>
    <x v="4"/>
    <x v="0"/>
    <x v="0"/>
    <x v="0"/>
  </r>
  <r>
    <x v="21"/>
    <x v="4"/>
    <x v="1"/>
    <x v="1"/>
    <x v="15"/>
  </r>
  <r>
    <x v="22"/>
    <x v="4"/>
    <x v="2"/>
    <x v="8"/>
    <x v="16"/>
  </r>
  <r>
    <x v="23"/>
    <x v="4"/>
    <x v="3"/>
    <x v="9"/>
    <x v="17"/>
  </r>
  <r>
    <x v="24"/>
    <x v="4"/>
    <x v="4"/>
    <x v="4"/>
    <x v="4"/>
  </r>
  <r>
    <x v="25"/>
    <x v="5"/>
    <x v="0"/>
    <x v="0"/>
    <x v="0"/>
  </r>
  <r>
    <x v="26"/>
    <x v="5"/>
    <x v="1"/>
    <x v="1"/>
    <x v="18"/>
  </r>
  <r>
    <x v="27"/>
    <x v="5"/>
    <x v="2"/>
    <x v="8"/>
    <x v="19"/>
  </r>
  <r>
    <x v="28"/>
    <x v="5"/>
    <x v="3"/>
    <x v="10"/>
    <x v="2"/>
  </r>
  <r>
    <x v="29"/>
    <x v="5"/>
    <x v="4"/>
    <x v="4"/>
    <x v="20"/>
  </r>
  <r>
    <x v="30"/>
    <x v="6"/>
    <x v="0"/>
    <x v="0"/>
    <x v="0"/>
  </r>
  <r>
    <x v="31"/>
    <x v="6"/>
    <x v="1"/>
    <x v="1"/>
    <x v="21"/>
  </r>
  <r>
    <x v="32"/>
    <x v="6"/>
    <x v="2"/>
    <x v="6"/>
    <x v="4"/>
  </r>
  <r>
    <x v="33"/>
    <x v="6"/>
    <x v="3"/>
    <x v="3"/>
    <x v="22"/>
  </r>
  <r>
    <x v="34"/>
    <x v="6"/>
    <x v="4"/>
    <x v="4"/>
    <x v="8"/>
  </r>
  <r>
    <x v="35"/>
    <x v="7"/>
    <x v="0"/>
    <x v="0"/>
    <x v="0"/>
  </r>
  <r>
    <x v="36"/>
    <x v="7"/>
    <x v="1"/>
    <x v="1"/>
    <x v="23"/>
  </r>
  <r>
    <x v="37"/>
    <x v="7"/>
    <x v="2"/>
    <x v="8"/>
    <x v="24"/>
  </r>
  <r>
    <x v="38"/>
    <x v="7"/>
    <x v="3"/>
    <x v="9"/>
    <x v="13"/>
  </r>
  <r>
    <x v="39"/>
    <x v="7"/>
    <x v="4"/>
    <x v="4"/>
    <x v="14"/>
  </r>
  <r>
    <x v="40"/>
    <x v="8"/>
    <x v="0"/>
    <x v="0"/>
    <x v="0"/>
  </r>
  <r>
    <x v="41"/>
    <x v="8"/>
    <x v="1"/>
    <x v="1"/>
    <x v="25"/>
  </r>
  <r>
    <x v="42"/>
    <x v="8"/>
    <x v="2"/>
    <x v="6"/>
    <x v="20"/>
  </r>
  <r>
    <x v="43"/>
    <x v="8"/>
    <x v="3"/>
    <x v="7"/>
    <x v="26"/>
  </r>
  <r>
    <x v="44"/>
    <x v="8"/>
    <x v="4"/>
    <x v="4"/>
    <x v="8"/>
  </r>
  <r>
    <x v="45"/>
    <x v="9"/>
    <x v="0"/>
    <x v="0"/>
    <x v="0"/>
  </r>
  <r>
    <x v="46"/>
    <x v="9"/>
    <x v="1"/>
    <x v="1"/>
    <x v="27"/>
  </r>
  <r>
    <x v="47"/>
    <x v="9"/>
    <x v="2"/>
    <x v="8"/>
    <x v="6"/>
  </r>
  <r>
    <x v="48"/>
    <x v="9"/>
    <x v="3"/>
    <x v="11"/>
    <x v="28"/>
  </r>
  <r>
    <x v="49"/>
    <x v="9"/>
    <x v="4"/>
    <x v="4"/>
    <x v="2"/>
  </r>
  <r>
    <x v="50"/>
    <x v="10"/>
    <x v="0"/>
    <x v="0"/>
    <x v="0"/>
  </r>
  <r>
    <x v="51"/>
    <x v="10"/>
    <x v="1"/>
    <x v="1"/>
    <x v="29"/>
  </r>
  <r>
    <x v="52"/>
    <x v="10"/>
    <x v="2"/>
    <x v="8"/>
    <x v="12"/>
  </r>
  <r>
    <x v="53"/>
    <x v="10"/>
    <x v="3"/>
    <x v="3"/>
    <x v="17"/>
  </r>
  <r>
    <x v="54"/>
    <x v="10"/>
    <x v="4"/>
    <x v="4"/>
    <x v="4"/>
  </r>
  <r>
    <x v="55"/>
    <x v="11"/>
    <x v="0"/>
    <x v="0"/>
    <x v="0"/>
  </r>
  <r>
    <x v="56"/>
    <x v="11"/>
    <x v="1"/>
    <x v="1"/>
    <x v="30"/>
  </r>
  <r>
    <x v="57"/>
    <x v="11"/>
    <x v="2"/>
    <x v="12"/>
    <x v="31"/>
  </r>
  <r>
    <x v="58"/>
    <x v="11"/>
    <x v="3"/>
    <x v="13"/>
    <x v="32"/>
  </r>
  <r>
    <x v="59"/>
    <x v="11"/>
    <x v="4"/>
    <x v="4"/>
    <x v="12"/>
  </r>
  <r>
    <x v="60"/>
    <x v="12"/>
    <x v="5"/>
    <x v="14"/>
    <x v="33"/>
  </r>
  <r>
    <x v="60"/>
    <x v="12"/>
    <x v="5"/>
    <x v="14"/>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H3:I17" firstHeaderRow="1" firstDataRow="1" firstDataCol="1"/>
  <pivotFields count="5">
    <pivotField showAll="0"/>
    <pivotField axis="axisRow" showAll="0">
      <items count="14">
        <item x="0"/>
        <item x="1"/>
        <item x="2"/>
        <item x="3"/>
        <item x="4"/>
        <item x="5"/>
        <item x="6"/>
        <item x="7"/>
        <item x="8"/>
        <item x="9"/>
        <item x="10"/>
        <item x="11"/>
        <item x="12"/>
        <item t="default"/>
      </items>
    </pivotField>
    <pivotField showAll="0">
      <items count="7">
        <item x="3"/>
        <item x="1"/>
        <item x="0"/>
        <item x="2"/>
        <item x="4"/>
        <item x="5"/>
        <item t="default"/>
      </items>
    </pivotField>
    <pivotField showAll="0">
      <items count="16">
        <item x="6"/>
        <item x="2"/>
        <item x="4"/>
        <item x="11"/>
        <item x="8"/>
        <item x="1"/>
        <item x="0"/>
        <item x="3"/>
        <item x="7"/>
        <item x="9"/>
        <item x="12"/>
        <item x="10"/>
        <item x="5"/>
        <item x="13"/>
        <item x="14"/>
        <item t="default"/>
      </items>
    </pivotField>
    <pivotField dataField="1" showAll="0">
      <items count="35">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x="3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Actual amount" fld="4" baseField="2"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8">
  <location ref="D3:E19" firstHeaderRow="1" firstDataRow="1" firstDataCol="1"/>
  <pivotFields count="5">
    <pivotField showAll="0"/>
    <pivotField showAll="0">
      <items count="14">
        <item x="0"/>
        <item x="1"/>
        <item x="2"/>
        <item x="3"/>
        <item x="4"/>
        <item x="5"/>
        <item x="6"/>
        <item x="7"/>
        <item x="8"/>
        <item x="9"/>
        <item x="10"/>
        <item x="11"/>
        <item x="12"/>
        <item t="default"/>
      </items>
    </pivotField>
    <pivotField showAll="0">
      <items count="7">
        <item x="3"/>
        <item x="1"/>
        <item x="0"/>
        <item x="2"/>
        <item x="4"/>
        <item x="5"/>
        <item t="default"/>
      </items>
    </pivotField>
    <pivotField axis="axisRow" showAll="0">
      <items count="16">
        <item x="6"/>
        <item x="2"/>
        <item x="4"/>
        <item x="11"/>
        <item x="8"/>
        <item x="1"/>
        <item x="0"/>
        <item x="3"/>
        <item x="7"/>
        <item x="9"/>
        <item x="12"/>
        <item x="10"/>
        <item x="5"/>
        <item x="13"/>
        <item x="14"/>
        <item t="default"/>
      </items>
    </pivotField>
    <pivotField dataField="1" showAll="0">
      <items count="35">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x="3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Actual amount" fld="4" baseField="2" baseItem="0"/>
  </dataFields>
  <chartFormats count="33">
    <chartFormat chart="1"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17" series="1">
      <pivotArea type="data" outline="0" fieldPosition="0">
        <references count="1">
          <reference field="4294967294" count="1" selected="0">
            <x v="0"/>
          </reference>
        </references>
      </pivotArea>
    </chartFormat>
    <chartFormat chart="27" format="18">
      <pivotArea type="data" outline="0" fieldPosition="0">
        <references count="2">
          <reference field="4294967294" count="1" selected="0">
            <x v="0"/>
          </reference>
          <reference field="3" count="1" selected="0">
            <x v="0"/>
          </reference>
        </references>
      </pivotArea>
    </chartFormat>
    <chartFormat chart="27" format="19">
      <pivotArea type="data" outline="0" fieldPosition="0">
        <references count="2">
          <reference field="4294967294" count="1" selected="0">
            <x v="0"/>
          </reference>
          <reference field="3" count="1" selected="0">
            <x v="1"/>
          </reference>
        </references>
      </pivotArea>
    </chartFormat>
    <chartFormat chart="27" format="20">
      <pivotArea type="data" outline="0" fieldPosition="0">
        <references count="2">
          <reference field="4294967294" count="1" selected="0">
            <x v="0"/>
          </reference>
          <reference field="3" count="1" selected="0">
            <x v="2"/>
          </reference>
        </references>
      </pivotArea>
    </chartFormat>
    <chartFormat chart="27" format="21">
      <pivotArea type="data" outline="0" fieldPosition="0">
        <references count="2">
          <reference field="4294967294" count="1" selected="0">
            <x v="0"/>
          </reference>
          <reference field="3" count="1" selected="0">
            <x v="3"/>
          </reference>
        </references>
      </pivotArea>
    </chartFormat>
    <chartFormat chart="27" format="22">
      <pivotArea type="data" outline="0" fieldPosition="0">
        <references count="2">
          <reference field="4294967294" count="1" selected="0">
            <x v="0"/>
          </reference>
          <reference field="3" count="1" selected="0">
            <x v="4"/>
          </reference>
        </references>
      </pivotArea>
    </chartFormat>
    <chartFormat chart="27" format="23">
      <pivotArea type="data" outline="0" fieldPosition="0">
        <references count="2">
          <reference field="4294967294" count="1" selected="0">
            <x v="0"/>
          </reference>
          <reference field="3" count="1" selected="0">
            <x v="5"/>
          </reference>
        </references>
      </pivotArea>
    </chartFormat>
    <chartFormat chart="27" format="24">
      <pivotArea type="data" outline="0" fieldPosition="0">
        <references count="2">
          <reference field="4294967294" count="1" selected="0">
            <x v="0"/>
          </reference>
          <reference field="3" count="1" selected="0">
            <x v="6"/>
          </reference>
        </references>
      </pivotArea>
    </chartFormat>
    <chartFormat chart="27" format="25">
      <pivotArea type="data" outline="0" fieldPosition="0">
        <references count="2">
          <reference field="4294967294" count="1" selected="0">
            <x v="0"/>
          </reference>
          <reference field="3" count="1" selected="0">
            <x v="7"/>
          </reference>
        </references>
      </pivotArea>
    </chartFormat>
    <chartFormat chart="27" format="26">
      <pivotArea type="data" outline="0" fieldPosition="0">
        <references count="2">
          <reference field="4294967294" count="1" selected="0">
            <x v="0"/>
          </reference>
          <reference field="3" count="1" selected="0">
            <x v="8"/>
          </reference>
        </references>
      </pivotArea>
    </chartFormat>
    <chartFormat chart="27" format="27">
      <pivotArea type="data" outline="0" fieldPosition="0">
        <references count="2">
          <reference field="4294967294" count="1" selected="0">
            <x v="0"/>
          </reference>
          <reference field="3" count="1" selected="0">
            <x v="9"/>
          </reference>
        </references>
      </pivotArea>
    </chartFormat>
    <chartFormat chart="27" format="28">
      <pivotArea type="data" outline="0" fieldPosition="0">
        <references count="2">
          <reference field="4294967294" count="1" selected="0">
            <x v="0"/>
          </reference>
          <reference field="3" count="1" selected="0">
            <x v="10"/>
          </reference>
        </references>
      </pivotArea>
    </chartFormat>
    <chartFormat chart="27" format="29">
      <pivotArea type="data" outline="0" fieldPosition="0">
        <references count="2">
          <reference field="4294967294" count="1" selected="0">
            <x v="0"/>
          </reference>
          <reference field="3" count="1" selected="0">
            <x v="11"/>
          </reference>
        </references>
      </pivotArea>
    </chartFormat>
    <chartFormat chart="27" format="30">
      <pivotArea type="data" outline="0" fieldPosition="0">
        <references count="2">
          <reference field="4294967294" count="1" selected="0">
            <x v="0"/>
          </reference>
          <reference field="3" count="1" selected="0">
            <x v="12"/>
          </reference>
        </references>
      </pivotArea>
    </chartFormat>
    <chartFormat chart="27" format="31">
      <pivotArea type="data" outline="0" fieldPosition="0">
        <references count="2">
          <reference field="4294967294" count="1" selected="0">
            <x v="0"/>
          </reference>
          <reference field="3" count="1" selected="0">
            <x v="13"/>
          </reference>
        </references>
      </pivotArea>
    </chartFormat>
    <chartFormat chart="27" format="32">
      <pivotArea type="data" outline="0" fieldPosition="0">
        <references count="2">
          <reference field="4294967294" count="1" selected="0">
            <x v="0"/>
          </reference>
          <reference field="3" count="1" selected="0">
            <x v="14"/>
          </reference>
        </references>
      </pivotArea>
    </chartFormat>
    <chartFormat chart="24" format="1">
      <pivotArea type="data" outline="0" fieldPosition="0">
        <references count="2">
          <reference field="4294967294" count="1" selected="0">
            <x v="0"/>
          </reference>
          <reference field="3" count="1" selected="0">
            <x v="0"/>
          </reference>
        </references>
      </pivotArea>
    </chartFormat>
    <chartFormat chart="24" format="2">
      <pivotArea type="data" outline="0" fieldPosition="0">
        <references count="2">
          <reference field="4294967294" count="1" selected="0">
            <x v="0"/>
          </reference>
          <reference field="3" count="1" selected="0">
            <x v="1"/>
          </reference>
        </references>
      </pivotArea>
    </chartFormat>
    <chartFormat chart="24" format="3">
      <pivotArea type="data" outline="0" fieldPosition="0">
        <references count="2">
          <reference field="4294967294" count="1" selected="0">
            <x v="0"/>
          </reference>
          <reference field="3" count="1" selected="0">
            <x v="2"/>
          </reference>
        </references>
      </pivotArea>
    </chartFormat>
    <chartFormat chart="24" format="4">
      <pivotArea type="data" outline="0" fieldPosition="0">
        <references count="2">
          <reference field="4294967294" count="1" selected="0">
            <x v="0"/>
          </reference>
          <reference field="3" count="1" selected="0">
            <x v="3"/>
          </reference>
        </references>
      </pivotArea>
    </chartFormat>
    <chartFormat chart="24" format="5">
      <pivotArea type="data" outline="0" fieldPosition="0">
        <references count="2">
          <reference field="4294967294" count="1" selected="0">
            <x v="0"/>
          </reference>
          <reference field="3" count="1" selected="0">
            <x v="4"/>
          </reference>
        </references>
      </pivotArea>
    </chartFormat>
    <chartFormat chart="24" format="6">
      <pivotArea type="data" outline="0" fieldPosition="0">
        <references count="2">
          <reference field="4294967294" count="1" selected="0">
            <x v="0"/>
          </reference>
          <reference field="3" count="1" selected="0">
            <x v="5"/>
          </reference>
        </references>
      </pivotArea>
    </chartFormat>
    <chartFormat chart="24" format="7">
      <pivotArea type="data" outline="0" fieldPosition="0">
        <references count="2">
          <reference field="4294967294" count="1" selected="0">
            <x v="0"/>
          </reference>
          <reference field="3" count="1" selected="0">
            <x v="6"/>
          </reference>
        </references>
      </pivotArea>
    </chartFormat>
    <chartFormat chart="24" format="8">
      <pivotArea type="data" outline="0" fieldPosition="0">
        <references count="2">
          <reference field="4294967294" count="1" selected="0">
            <x v="0"/>
          </reference>
          <reference field="3" count="1" selected="0">
            <x v="7"/>
          </reference>
        </references>
      </pivotArea>
    </chartFormat>
    <chartFormat chart="24" format="9">
      <pivotArea type="data" outline="0" fieldPosition="0">
        <references count="2">
          <reference field="4294967294" count="1" selected="0">
            <x v="0"/>
          </reference>
          <reference field="3" count="1" selected="0">
            <x v="8"/>
          </reference>
        </references>
      </pivotArea>
    </chartFormat>
    <chartFormat chart="24" format="10">
      <pivotArea type="data" outline="0" fieldPosition="0">
        <references count="2">
          <reference field="4294967294" count="1" selected="0">
            <x v="0"/>
          </reference>
          <reference field="3" count="1" selected="0">
            <x v="9"/>
          </reference>
        </references>
      </pivotArea>
    </chartFormat>
    <chartFormat chart="24" format="11">
      <pivotArea type="data" outline="0" fieldPosition="0">
        <references count="2">
          <reference field="4294967294" count="1" selected="0">
            <x v="0"/>
          </reference>
          <reference field="3" count="1" selected="0">
            <x v="10"/>
          </reference>
        </references>
      </pivotArea>
    </chartFormat>
    <chartFormat chart="24" format="12">
      <pivotArea type="data" outline="0" fieldPosition="0">
        <references count="2">
          <reference field="4294967294" count="1" selected="0">
            <x v="0"/>
          </reference>
          <reference field="3" count="1" selected="0">
            <x v="11"/>
          </reference>
        </references>
      </pivotArea>
    </chartFormat>
    <chartFormat chart="24" format="13">
      <pivotArea type="data" outline="0" fieldPosition="0">
        <references count="2">
          <reference field="4294967294" count="1" selected="0">
            <x v="0"/>
          </reference>
          <reference field="3" count="1" selected="0">
            <x v="12"/>
          </reference>
        </references>
      </pivotArea>
    </chartFormat>
    <chartFormat chart="24" format="14">
      <pivotArea type="data" outline="0" fieldPosition="0">
        <references count="2">
          <reference field="4294967294" count="1" selected="0">
            <x v="0"/>
          </reference>
          <reference field="3" count="1" selected="0">
            <x v="13"/>
          </reference>
        </references>
      </pivotArea>
    </chartFormat>
    <chartFormat chart="24" format="15">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B10" firstHeaderRow="1" firstDataRow="1" firstDataCol="1"/>
  <pivotFields count="5">
    <pivotField showAll="0"/>
    <pivotField showAll="0">
      <items count="14">
        <item x="0"/>
        <item x="1"/>
        <item x="2"/>
        <item x="3"/>
        <item x="4"/>
        <item x="5"/>
        <item x="6"/>
        <item x="7"/>
        <item x="8"/>
        <item x="9"/>
        <item x="10"/>
        <item x="11"/>
        <item x="12"/>
        <item t="default"/>
      </items>
    </pivotField>
    <pivotField axis="axisRow" showAll="0">
      <items count="7">
        <item x="3"/>
        <item x="1"/>
        <item x="0"/>
        <item x="2"/>
        <item x="4"/>
        <item x="5"/>
        <item t="default"/>
      </items>
    </pivotField>
    <pivotField showAll="0">
      <items count="16">
        <item x="6"/>
        <item x="2"/>
        <item x="4"/>
        <item x="11"/>
        <item x="8"/>
        <item x="1"/>
        <item x="0"/>
        <item x="3"/>
        <item x="7"/>
        <item x="9"/>
        <item x="12"/>
        <item x="10"/>
        <item x="5"/>
        <item x="13"/>
        <item x="14"/>
        <item t="default"/>
      </items>
    </pivotField>
    <pivotField dataField="1" showAll="0">
      <items count="35">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x="33"/>
        <item t="default"/>
      </items>
    </pivotField>
  </pivotFields>
  <rowFields count="1">
    <field x="2"/>
  </rowFields>
  <rowItems count="7">
    <i>
      <x/>
    </i>
    <i>
      <x v="1"/>
    </i>
    <i>
      <x v="2"/>
    </i>
    <i>
      <x v="3"/>
    </i>
    <i>
      <x v="4"/>
    </i>
    <i>
      <x v="5"/>
    </i>
    <i t="grand">
      <x/>
    </i>
  </rowItems>
  <colItems count="1">
    <i/>
  </colItems>
  <dataFields count="1">
    <dataField name="Sum of Actual amount" fld="4" baseField="2"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9">
  <location ref="L3:M19" firstHeaderRow="1" firstDataRow="1" firstDataCol="1"/>
  <pivotFields count="5">
    <pivotField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showAll="0">
      <items count="14">
        <item x="0"/>
        <item x="1"/>
        <item x="2"/>
        <item x="3"/>
        <item x="4"/>
        <item x="5"/>
        <item x="6"/>
        <item x="7"/>
        <item x="8"/>
        <item x="9"/>
        <item x="10"/>
        <item x="11"/>
        <item x="12"/>
        <item t="default"/>
      </items>
    </pivotField>
    <pivotField showAll="0">
      <items count="7">
        <item x="3"/>
        <item x="1"/>
        <item x="0"/>
        <item x="2"/>
        <item x="4"/>
        <item x="5"/>
        <item t="default"/>
      </items>
    </pivotField>
    <pivotField axis="axisRow" showAll="0">
      <items count="16">
        <item x="6"/>
        <item x="2"/>
        <item x="4"/>
        <item x="11"/>
        <item x="8"/>
        <item x="1"/>
        <item x="0"/>
        <item x="3"/>
        <item x="7"/>
        <item x="9"/>
        <item x="12"/>
        <item x="10"/>
        <item x="5"/>
        <item x="13"/>
        <item x="14"/>
        <item t="default"/>
      </items>
    </pivotField>
    <pivotField showAll="0">
      <items count="35">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x="3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Month" fld="1" subtotal="count" baseField="0" baseItem="0"/>
  </dataField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amount" xr10:uid="{00000000-0013-0000-FFFF-FFFF01000000}" sourceName="Actual amount">
  <pivotTables>
    <pivotTable tabId="3" name="PivotTable1"/>
    <pivotTable tabId="3" name="PivotTable2"/>
    <pivotTable tabId="3" name="PivotTable3"/>
    <pivotTable tabId="3" name="PivotTable4"/>
  </pivotTables>
  <data>
    <tabular pivotCacheId="1">
      <items count="34">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 x="3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00000000-0013-0000-FFFF-FFFF02000000}" sourceName="Discription">
  <pivotTables>
    <pivotTable tabId="3" name="PivotTable2"/>
    <pivotTable tabId="3" name="PivotTable1"/>
    <pivotTable tabId="3" name="PivotTable3"/>
    <pivotTable tabId="3" name="PivotTable4"/>
  </pivotTables>
  <data>
    <tabular pivotCacheId="1">
      <items count="15">
        <i x="6" s="1"/>
        <i x="2" s="1"/>
        <i x="4" s="1"/>
        <i x="11" s="1"/>
        <i x="8" s="1"/>
        <i x="1" s="1"/>
        <i x="0" s="1"/>
        <i x="3" s="1"/>
        <i x="7" s="1"/>
        <i x="9" s="1"/>
        <i x="12" s="1"/>
        <i x="10" s="1"/>
        <i x="5" s="1"/>
        <i x="13" s="1"/>
        <i x="1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3" name="PivotTable3"/>
    <pivotTable tabId="3" name="PivotTable1"/>
    <pivotTable tabId="3" name="PivotTable2"/>
    <pivotTable tabId="3" name="PivotTable4"/>
  </pivotTables>
  <data>
    <tabular pivotCacheId="1">
      <items count="13">
        <i x="0" s="1"/>
        <i x="1" s="1"/>
        <i x="2" s="1"/>
        <i x="3" s="1"/>
        <i x="4" s="1"/>
        <i x="5" s="1"/>
        <i x="6" s="1"/>
        <i x="7" s="1"/>
        <i x="8" s="1"/>
        <i x="9" s="1"/>
        <i x="10" s="1"/>
        <i x="11"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4000000}" sourceName="Category">
  <pivotTables>
    <pivotTable tabId="3" name="PivotTable1"/>
    <pivotTable tabId="3" name="PivotTable2"/>
    <pivotTable tabId="3" name="PivotTable3"/>
    <pivotTable tabId="3" name="PivotTable4"/>
  </pivotTables>
  <data>
    <tabular pivotCacheId="1">
      <items count="6">
        <i x="3" s="1"/>
        <i x="1" s="1"/>
        <i x="0"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ual amount" xr10:uid="{00000000-0014-0000-FFFF-FFFF01000000}" cache="Slicer_Actual_amount" caption="Actual amount" startItem="9" rowHeight="241300"/>
  <slicer name="Discription" xr10:uid="{00000000-0014-0000-FFFF-FFFF02000000}" cache="Slicer_Discription" caption="Discription" rowHeight="241300"/>
  <slicer name="Month" xr10:uid="{00000000-0014-0000-FFFF-FFFF03000000}" cache="Slicer_Month" caption="Month" rowHeight="241300"/>
  <slicer name="Category" xr10:uid="{00000000-0014-0000-FFFF-FFFF0400000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ual amount 1" xr10:uid="{00000000-0014-0000-FFFF-FFFF05000000}" cache="Slicer_Actual_amount" caption="Actual amount" style="SlicerStyleLight3" rowHeight="241300"/>
  <slicer name="Discription 1" xr10:uid="{00000000-0014-0000-FFFF-FFFF06000000}" cache="Slicer_Discription" caption="Discription" rowHeight="241300"/>
  <slicer name="Month 1" xr10:uid="{00000000-0014-0000-FFFF-FFFF07000000}" cache="Slicer_Month" caption="Month" startItem="5" rowHeight="241300"/>
  <slicer name="Category 1" xr10:uid="{00000000-0014-0000-FFFF-FFFF08000000}" cache="Slicer_Category" caption="Category" rowHeight="241300"/>
</slicers>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19"/>
  <sheetViews>
    <sheetView topLeftCell="I7" workbookViewId="0">
      <selection activeCell="AA24" sqref="AA24"/>
    </sheetView>
  </sheetViews>
  <sheetFormatPr defaultRowHeight="14.4" x14ac:dyDescent="0.3"/>
  <cols>
    <col min="1" max="1" width="12.6640625" bestFit="1" customWidth="1"/>
    <col min="2" max="2" width="20.109375" bestFit="1" customWidth="1"/>
    <col min="4" max="4" width="15" bestFit="1" customWidth="1"/>
    <col min="5" max="5" width="20.109375" bestFit="1" customWidth="1"/>
    <col min="8" max="8" width="12.5546875" bestFit="1" customWidth="1"/>
    <col min="9" max="9" width="20.109375" bestFit="1" customWidth="1"/>
    <col min="12" max="12" width="15" bestFit="1" customWidth="1"/>
    <col min="13" max="13" width="14.6640625" bestFit="1" customWidth="1"/>
    <col min="14" max="14" width="8.88671875" customWidth="1"/>
    <col min="15" max="15" width="6.5546875" customWidth="1"/>
    <col min="16" max="16" width="5.33203125" customWidth="1"/>
    <col min="17" max="17" width="4.88671875" customWidth="1"/>
    <col min="18" max="18" width="5.109375" customWidth="1"/>
    <col min="19" max="19" width="4.44140625" customWidth="1"/>
    <col min="20" max="20" width="7.109375" customWidth="1"/>
    <col min="21" max="21" width="10.88671875" bestFit="1" customWidth="1"/>
    <col min="22" max="22" width="8.109375" customWidth="1"/>
    <col min="23" max="23" width="10.44140625" customWidth="1"/>
    <col min="24" max="24" width="10.109375" customWidth="1"/>
    <col min="25" max="25" width="7.33203125" customWidth="1"/>
    <col min="26" max="26" width="11.33203125" customWidth="1"/>
    <col min="27" max="27" width="7.33203125" customWidth="1"/>
    <col min="28" max="28" width="11.33203125" bestFit="1" customWidth="1"/>
  </cols>
  <sheetData>
    <row r="3" spans="1:13" x14ac:dyDescent="0.3">
      <c r="A3" s="12" t="s">
        <v>42</v>
      </c>
      <c r="B3" t="s">
        <v>44</v>
      </c>
      <c r="D3" s="12" t="s">
        <v>42</v>
      </c>
      <c r="E3" t="s">
        <v>44</v>
      </c>
      <c r="H3" s="12" t="s">
        <v>42</v>
      </c>
      <c r="I3" t="s">
        <v>44</v>
      </c>
      <c r="L3" s="12" t="s">
        <v>42</v>
      </c>
      <c r="M3" t="s">
        <v>45</v>
      </c>
    </row>
    <row r="4" spans="1:13" x14ac:dyDescent="0.3">
      <c r="A4" s="13" t="s">
        <v>13</v>
      </c>
      <c r="B4">
        <v>28400</v>
      </c>
      <c r="D4" s="13" t="s">
        <v>22</v>
      </c>
      <c r="E4">
        <v>7900</v>
      </c>
      <c r="H4" s="13" t="s">
        <v>5</v>
      </c>
      <c r="I4">
        <v>23900</v>
      </c>
      <c r="L4" s="13" t="s">
        <v>22</v>
      </c>
      <c r="M4">
        <v>3</v>
      </c>
    </row>
    <row r="5" spans="1:13" x14ac:dyDescent="0.3">
      <c r="A5" s="13" t="s">
        <v>8</v>
      </c>
      <c r="B5">
        <v>55800</v>
      </c>
      <c r="D5" s="13" t="s">
        <v>11</v>
      </c>
      <c r="E5">
        <v>6000</v>
      </c>
      <c r="H5" s="13" t="s">
        <v>17</v>
      </c>
      <c r="I5">
        <v>24600</v>
      </c>
      <c r="L5" s="13" t="s">
        <v>11</v>
      </c>
      <c r="M5">
        <v>2</v>
      </c>
    </row>
    <row r="6" spans="1:13" x14ac:dyDescent="0.3">
      <c r="A6" s="13" t="s">
        <v>6</v>
      </c>
      <c r="B6">
        <v>144000</v>
      </c>
      <c r="D6" s="13" t="s">
        <v>16</v>
      </c>
      <c r="E6">
        <v>28400</v>
      </c>
      <c r="H6" s="13" t="s">
        <v>20</v>
      </c>
      <c r="I6">
        <v>22300</v>
      </c>
      <c r="L6" s="13" t="s">
        <v>16</v>
      </c>
      <c r="M6">
        <v>11</v>
      </c>
    </row>
    <row r="7" spans="1:13" x14ac:dyDescent="0.3">
      <c r="A7" s="13" t="s">
        <v>10</v>
      </c>
      <c r="B7">
        <v>36000</v>
      </c>
      <c r="D7" s="13" t="s">
        <v>37</v>
      </c>
      <c r="E7">
        <v>3500</v>
      </c>
      <c r="H7" s="13" t="s">
        <v>24</v>
      </c>
      <c r="I7">
        <v>24200</v>
      </c>
      <c r="L7" s="13" t="s">
        <v>37</v>
      </c>
      <c r="M7">
        <v>1</v>
      </c>
    </row>
    <row r="8" spans="1:13" x14ac:dyDescent="0.3">
      <c r="A8" s="13" t="s">
        <v>15</v>
      </c>
      <c r="B8">
        <v>30800</v>
      </c>
      <c r="D8" s="13" t="s">
        <v>26</v>
      </c>
      <c r="E8">
        <v>18500</v>
      </c>
      <c r="H8" s="13" t="s">
        <v>28</v>
      </c>
      <c r="I8">
        <v>24400</v>
      </c>
      <c r="L8" s="13" t="s">
        <v>26</v>
      </c>
      <c r="M8">
        <v>6</v>
      </c>
    </row>
    <row r="9" spans="1:13" x14ac:dyDescent="0.3">
      <c r="A9" s="13" t="s">
        <v>46</v>
      </c>
      <c r="D9" s="13" t="s">
        <v>9</v>
      </c>
      <c r="E9">
        <v>55800</v>
      </c>
      <c r="H9" s="13" t="s">
        <v>30</v>
      </c>
      <c r="I9">
        <v>26000</v>
      </c>
      <c r="L9" s="13" t="s">
        <v>9</v>
      </c>
      <c r="M9">
        <v>12</v>
      </c>
    </row>
    <row r="10" spans="1:13" x14ac:dyDescent="0.3">
      <c r="A10" s="13" t="s">
        <v>43</v>
      </c>
      <c r="B10">
        <v>295000</v>
      </c>
      <c r="D10" s="13" t="s">
        <v>7</v>
      </c>
      <c r="E10">
        <v>144000</v>
      </c>
      <c r="H10" s="13" t="s">
        <v>33</v>
      </c>
      <c r="I10">
        <v>22900</v>
      </c>
      <c r="L10" s="13" t="s">
        <v>7</v>
      </c>
      <c r="M10">
        <v>12</v>
      </c>
    </row>
    <row r="11" spans="1:13" x14ac:dyDescent="0.3">
      <c r="D11" s="13" t="s">
        <v>14</v>
      </c>
      <c r="E11">
        <v>10300</v>
      </c>
      <c r="H11" s="13" t="s">
        <v>34</v>
      </c>
      <c r="I11">
        <v>24500</v>
      </c>
      <c r="L11" s="13" t="s">
        <v>14</v>
      </c>
      <c r="M11">
        <v>5</v>
      </c>
    </row>
    <row r="12" spans="1:13" x14ac:dyDescent="0.3">
      <c r="D12" s="13" t="s">
        <v>23</v>
      </c>
      <c r="E12">
        <v>3500</v>
      </c>
      <c r="H12" s="13" t="s">
        <v>35</v>
      </c>
      <c r="I12">
        <v>23400</v>
      </c>
      <c r="L12" s="13" t="s">
        <v>23</v>
      </c>
      <c r="M12">
        <v>2</v>
      </c>
    </row>
    <row r="13" spans="1:13" x14ac:dyDescent="0.3">
      <c r="D13" s="13" t="s">
        <v>29</v>
      </c>
      <c r="E13">
        <v>4300</v>
      </c>
      <c r="H13" s="13" t="s">
        <v>36</v>
      </c>
      <c r="I13">
        <v>26500</v>
      </c>
      <c r="L13" s="13" t="s">
        <v>29</v>
      </c>
      <c r="M13">
        <v>2</v>
      </c>
    </row>
    <row r="14" spans="1:13" x14ac:dyDescent="0.3">
      <c r="D14" s="13" t="s">
        <v>40</v>
      </c>
      <c r="E14">
        <v>3600</v>
      </c>
      <c r="H14" s="13" t="s">
        <v>38</v>
      </c>
      <c r="I14">
        <v>24300</v>
      </c>
      <c r="L14" s="13" t="s">
        <v>40</v>
      </c>
      <c r="M14">
        <v>1</v>
      </c>
    </row>
    <row r="15" spans="1:13" x14ac:dyDescent="0.3">
      <c r="D15" s="13" t="s">
        <v>32</v>
      </c>
      <c r="E15">
        <v>2800</v>
      </c>
      <c r="H15" s="13" t="s">
        <v>39</v>
      </c>
      <c r="I15">
        <v>28000</v>
      </c>
      <c r="L15" s="13" t="s">
        <v>32</v>
      </c>
      <c r="M15">
        <v>1</v>
      </c>
    </row>
    <row r="16" spans="1:13" x14ac:dyDescent="0.3">
      <c r="D16" s="13" t="s">
        <v>19</v>
      </c>
      <c r="E16">
        <v>2400</v>
      </c>
      <c r="H16" s="13" t="s">
        <v>46</v>
      </c>
      <c r="L16" s="13" t="s">
        <v>19</v>
      </c>
      <c r="M16">
        <v>1</v>
      </c>
    </row>
    <row r="17" spans="4:13" x14ac:dyDescent="0.3">
      <c r="D17" s="13" t="s">
        <v>41</v>
      </c>
      <c r="E17">
        <v>4000</v>
      </c>
      <c r="H17" s="13" t="s">
        <v>43</v>
      </c>
      <c r="I17">
        <v>295000</v>
      </c>
      <c r="L17" s="13" t="s">
        <v>41</v>
      </c>
      <c r="M17">
        <v>1</v>
      </c>
    </row>
    <row r="18" spans="4:13" x14ac:dyDescent="0.3">
      <c r="D18" s="13" t="s">
        <v>46</v>
      </c>
      <c r="L18" s="13" t="s">
        <v>46</v>
      </c>
    </row>
    <row r="19" spans="4:13" x14ac:dyDescent="0.3">
      <c r="D19" s="13" t="s">
        <v>43</v>
      </c>
      <c r="E19">
        <v>295000</v>
      </c>
      <c r="L19" s="13" t="s">
        <v>43</v>
      </c>
      <c r="M19">
        <v>60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topLeftCell="A4" zoomScale="85" zoomScaleNormal="88" workbookViewId="0">
      <selection activeCell="S26" sqref="S26"/>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
  <sheetViews>
    <sheetView topLeftCell="A10" workbookViewId="0">
      <selection activeCell="C37" sqref="C37"/>
    </sheetView>
  </sheetViews>
  <sheetFormatPr defaultRowHeight="14.4" x14ac:dyDescent="0.3"/>
  <cols>
    <col min="1" max="1" width="10.44140625" bestFit="1" customWidth="1"/>
    <col min="3" max="3" width="14.109375" customWidth="1"/>
    <col min="4" max="4" width="20.33203125" customWidth="1"/>
    <col min="5" max="5" width="17.6640625" customWidth="1"/>
    <col min="8" max="8" width="39.109375" customWidth="1"/>
  </cols>
  <sheetData>
    <row r="1" spans="1:8" ht="15.6" x14ac:dyDescent="0.3">
      <c r="A1" s="1" t="s">
        <v>0</v>
      </c>
      <c r="B1" s="2" t="s">
        <v>1</v>
      </c>
      <c r="C1" s="2" t="s">
        <v>2</v>
      </c>
      <c r="D1" s="2" t="s">
        <v>3</v>
      </c>
      <c r="E1" s="2" t="s">
        <v>4</v>
      </c>
    </row>
    <row r="2" spans="1:8" x14ac:dyDescent="0.3">
      <c r="A2" s="3">
        <v>45662</v>
      </c>
      <c r="B2" s="4" t="s">
        <v>5</v>
      </c>
      <c r="C2" s="4" t="s">
        <v>6</v>
      </c>
      <c r="D2" s="4" t="s">
        <v>7</v>
      </c>
      <c r="E2" s="4">
        <v>12000</v>
      </c>
    </row>
    <row r="3" spans="1:8" x14ac:dyDescent="0.3">
      <c r="A3" s="5">
        <v>45665</v>
      </c>
      <c r="B3" s="6" t="s">
        <v>5</v>
      </c>
      <c r="C3" s="6" t="s">
        <v>8</v>
      </c>
      <c r="D3" s="6" t="s">
        <v>9</v>
      </c>
      <c r="E3" s="6">
        <v>4200</v>
      </c>
    </row>
    <row r="4" spans="1:8" x14ac:dyDescent="0.3">
      <c r="A4" s="3">
        <v>45669</v>
      </c>
      <c r="B4" s="4" t="s">
        <v>5</v>
      </c>
      <c r="C4" s="4" t="s">
        <v>10</v>
      </c>
      <c r="D4" s="4" t="s">
        <v>11</v>
      </c>
      <c r="E4" s="4">
        <v>2800</v>
      </c>
    </row>
    <row r="5" spans="1:8" x14ac:dyDescent="0.3">
      <c r="A5" s="5">
        <v>45675</v>
      </c>
      <c r="B5" s="6" t="s">
        <v>5</v>
      </c>
      <c r="C5" s="6" t="s">
        <v>13</v>
      </c>
      <c r="D5" s="6" t="s">
        <v>14</v>
      </c>
      <c r="E5" s="6">
        <v>2300</v>
      </c>
    </row>
    <row r="6" spans="1:8" x14ac:dyDescent="0.3">
      <c r="A6" s="3">
        <v>45682</v>
      </c>
      <c r="B6" s="4" t="s">
        <v>5</v>
      </c>
      <c r="C6" s="4" t="s">
        <v>15</v>
      </c>
      <c r="D6" s="4" t="s">
        <v>16</v>
      </c>
      <c r="E6" s="4">
        <v>2600</v>
      </c>
    </row>
    <row r="7" spans="1:8" x14ac:dyDescent="0.3">
      <c r="A7" s="5">
        <v>45693</v>
      </c>
      <c r="B7" s="6" t="s">
        <v>17</v>
      </c>
      <c r="C7" s="6" t="s">
        <v>6</v>
      </c>
      <c r="D7" s="6" t="s">
        <v>7</v>
      </c>
      <c r="E7" s="6">
        <v>12000</v>
      </c>
    </row>
    <row r="8" spans="1:8" x14ac:dyDescent="0.3">
      <c r="A8" s="3">
        <v>45697</v>
      </c>
      <c r="B8" s="4" t="s">
        <v>17</v>
      </c>
      <c r="C8" s="4" t="s">
        <v>8</v>
      </c>
      <c r="D8" s="4" t="s">
        <v>9</v>
      </c>
      <c r="E8" s="4">
        <v>5100</v>
      </c>
    </row>
    <row r="9" spans="1:8" x14ac:dyDescent="0.3">
      <c r="A9" s="5">
        <v>45700</v>
      </c>
      <c r="B9" s="6" t="s">
        <v>17</v>
      </c>
      <c r="C9" s="6" t="s">
        <v>10</v>
      </c>
      <c r="D9" s="6" t="s">
        <v>11</v>
      </c>
      <c r="E9" s="6">
        <v>3200</v>
      </c>
    </row>
    <row r="10" spans="1:8" x14ac:dyDescent="0.3">
      <c r="A10" s="3">
        <v>45706</v>
      </c>
      <c r="B10" s="4" t="s">
        <v>17</v>
      </c>
      <c r="C10" s="4" t="s">
        <v>13</v>
      </c>
      <c r="D10" s="4" t="s">
        <v>14</v>
      </c>
      <c r="E10" s="4">
        <v>1900</v>
      </c>
      <c r="H10" s="7" t="s">
        <v>12</v>
      </c>
    </row>
    <row r="11" spans="1:8" x14ac:dyDescent="0.3">
      <c r="A11" s="5">
        <v>45712</v>
      </c>
      <c r="B11" s="6" t="s">
        <v>17</v>
      </c>
      <c r="C11" s="6" t="s">
        <v>15</v>
      </c>
      <c r="D11" s="6" t="s">
        <v>19</v>
      </c>
      <c r="E11" s="6">
        <v>2400</v>
      </c>
      <c r="H11" s="8">
        <f>SUM(E8:E67)</f>
        <v>259100</v>
      </c>
    </row>
    <row r="12" spans="1:8" x14ac:dyDescent="0.3">
      <c r="A12" s="3">
        <v>45721</v>
      </c>
      <c r="B12" s="4" t="s">
        <v>20</v>
      </c>
      <c r="C12" s="4" t="s">
        <v>6</v>
      </c>
      <c r="D12" s="4" t="s">
        <v>7</v>
      </c>
      <c r="E12" s="4">
        <v>12000</v>
      </c>
    </row>
    <row r="13" spans="1:8" x14ac:dyDescent="0.3">
      <c r="A13" s="5">
        <v>45724</v>
      </c>
      <c r="B13" s="6" t="s">
        <v>20</v>
      </c>
      <c r="C13" s="6" t="s">
        <v>8</v>
      </c>
      <c r="D13" s="6" t="s">
        <v>9</v>
      </c>
      <c r="E13" s="6">
        <v>3900</v>
      </c>
    </row>
    <row r="14" spans="1:8" x14ac:dyDescent="0.3">
      <c r="A14" s="3">
        <v>45730</v>
      </c>
      <c r="B14" s="4" t="s">
        <v>20</v>
      </c>
      <c r="C14" s="4" t="s">
        <v>10</v>
      </c>
      <c r="D14" s="4" t="s">
        <v>22</v>
      </c>
      <c r="E14" s="4">
        <v>2600</v>
      </c>
    </row>
    <row r="15" spans="1:8" x14ac:dyDescent="0.3">
      <c r="A15" s="5">
        <v>45736</v>
      </c>
      <c r="B15" s="6" t="s">
        <v>20</v>
      </c>
      <c r="C15" s="6" t="s">
        <v>13</v>
      </c>
      <c r="D15" s="6" t="s">
        <v>23</v>
      </c>
      <c r="E15" s="6">
        <v>1500</v>
      </c>
      <c r="H15" s="2" t="s">
        <v>18</v>
      </c>
    </row>
    <row r="16" spans="1:8" x14ac:dyDescent="0.3">
      <c r="A16" s="3">
        <v>45742</v>
      </c>
      <c r="B16" s="4" t="s">
        <v>20</v>
      </c>
      <c r="C16" s="4" t="s">
        <v>15</v>
      </c>
      <c r="D16" s="4" t="s">
        <v>16</v>
      </c>
      <c r="E16" s="4">
        <v>2300</v>
      </c>
      <c r="H16" s="8">
        <f>SUMIF(C:C,"food",E:E)</f>
        <v>55800</v>
      </c>
    </row>
    <row r="17" spans="1:8" x14ac:dyDescent="0.3">
      <c r="A17" s="5">
        <v>45752</v>
      </c>
      <c r="B17" s="6" t="s">
        <v>24</v>
      </c>
      <c r="C17" s="6" t="s">
        <v>6</v>
      </c>
      <c r="D17" s="6" t="s">
        <v>7</v>
      </c>
      <c r="E17" s="6">
        <v>12000</v>
      </c>
    </row>
    <row r="18" spans="1:8" x14ac:dyDescent="0.3">
      <c r="A18" s="3">
        <v>45756</v>
      </c>
      <c r="B18" s="4" t="s">
        <v>24</v>
      </c>
      <c r="C18" s="4" t="s">
        <v>8</v>
      </c>
      <c r="D18" s="4" t="s">
        <v>9</v>
      </c>
      <c r="E18" s="4">
        <v>4500</v>
      </c>
    </row>
    <row r="19" spans="1:8" x14ac:dyDescent="0.3">
      <c r="A19" s="5">
        <v>45760</v>
      </c>
      <c r="B19" s="6" t="s">
        <v>24</v>
      </c>
      <c r="C19" s="6" t="s">
        <v>10</v>
      </c>
      <c r="D19" s="6" t="s">
        <v>26</v>
      </c>
      <c r="E19" s="6">
        <v>3000</v>
      </c>
      <c r="H19" s="2" t="s">
        <v>21</v>
      </c>
    </row>
    <row r="20" spans="1:8" x14ac:dyDescent="0.3">
      <c r="A20" s="3">
        <v>45766</v>
      </c>
      <c r="B20" s="4" t="s">
        <v>24</v>
      </c>
      <c r="C20" s="4" t="s">
        <v>13</v>
      </c>
      <c r="D20" s="4" t="s">
        <v>14</v>
      </c>
      <c r="E20" s="4">
        <v>2200</v>
      </c>
      <c r="H20" s="8">
        <f>AVERAGE(E8:E67)</f>
        <v>4798.1481481481478</v>
      </c>
    </row>
    <row r="21" spans="1:8" x14ac:dyDescent="0.3">
      <c r="A21" s="5">
        <v>45772</v>
      </c>
      <c r="B21" s="6" t="s">
        <v>24</v>
      </c>
      <c r="C21" s="6" t="s">
        <v>15</v>
      </c>
      <c r="D21" s="6" t="s">
        <v>16</v>
      </c>
      <c r="E21" s="6">
        <v>2500</v>
      </c>
    </row>
    <row r="22" spans="1:8" x14ac:dyDescent="0.3">
      <c r="A22" s="3">
        <v>45782</v>
      </c>
      <c r="B22" s="4" t="s">
        <v>28</v>
      </c>
      <c r="C22" s="4" t="s">
        <v>6</v>
      </c>
      <c r="D22" s="4" t="s">
        <v>7</v>
      </c>
      <c r="E22" s="4">
        <v>12000</v>
      </c>
    </row>
    <row r="23" spans="1:8" x14ac:dyDescent="0.3">
      <c r="A23" s="5">
        <v>45785</v>
      </c>
      <c r="B23" s="6" t="s">
        <v>28</v>
      </c>
      <c r="C23" s="6" t="s">
        <v>8</v>
      </c>
      <c r="D23" s="6" t="s">
        <v>9</v>
      </c>
      <c r="E23" s="6">
        <v>4800</v>
      </c>
      <c r="H23" s="9" t="s">
        <v>25</v>
      </c>
    </row>
    <row r="24" spans="1:8" x14ac:dyDescent="0.3">
      <c r="A24" s="3">
        <v>45791</v>
      </c>
      <c r="B24" s="4" t="s">
        <v>28</v>
      </c>
      <c r="C24" s="4" t="s">
        <v>10</v>
      </c>
      <c r="D24" s="4" t="s">
        <v>26</v>
      </c>
      <c r="E24" s="4">
        <v>2900</v>
      </c>
      <c r="H24" s="8">
        <f>SUMIF(B:B,"January",E:E)</f>
        <v>23900</v>
      </c>
    </row>
    <row r="25" spans="1:8" x14ac:dyDescent="0.3">
      <c r="A25" s="5">
        <v>45797</v>
      </c>
      <c r="B25" s="6" t="s">
        <v>28</v>
      </c>
      <c r="C25" s="6" t="s">
        <v>13</v>
      </c>
      <c r="D25" s="6" t="s">
        <v>29</v>
      </c>
      <c r="E25" s="6">
        <v>2100</v>
      </c>
    </row>
    <row r="26" spans="1:8" x14ac:dyDescent="0.3">
      <c r="A26" s="3">
        <v>45803</v>
      </c>
      <c r="B26" s="4" t="s">
        <v>28</v>
      </c>
      <c r="C26" s="4" t="s">
        <v>15</v>
      </c>
      <c r="D26" s="4" t="s">
        <v>16</v>
      </c>
      <c r="E26" s="4">
        <v>2600</v>
      </c>
    </row>
    <row r="27" spans="1:8" x14ac:dyDescent="0.3">
      <c r="A27" s="5">
        <v>45813</v>
      </c>
      <c r="B27" s="6" t="s">
        <v>30</v>
      </c>
      <c r="C27" s="6" t="s">
        <v>6</v>
      </c>
      <c r="D27" s="6" t="s">
        <v>7</v>
      </c>
      <c r="E27" s="6">
        <v>12000</v>
      </c>
      <c r="H27" s="9" t="s">
        <v>27</v>
      </c>
    </row>
    <row r="28" spans="1:8" x14ac:dyDescent="0.3">
      <c r="A28" s="3">
        <v>45817</v>
      </c>
      <c r="B28" s="4" t="s">
        <v>30</v>
      </c>
      <c r="C28" s="4" t="s">
        <v>8</v>
      </c>
      <c r="D28" s="4" t="s">
        <v>9</v>
      </c>
      <c r="E28" s="4">
        <v>5200</v>
      </c>
      <c r="H28" s="8">
        <f>SUMIFS(E:E,B:B,"January",C:C,"Food")</f>
        <v>4200</v>
      </c>
    </row>
    <row r="29" spans="1:8" x14ac:dyDescent="0.3">
      <c r="A29" s="5">
        <v>45821</v>
      </c>
      <c r="B29" s="6" t="s">
        <v>30</v>
      </c>
      <c r="C29" s="6" t="s">
        <v>10</v>
      </c>
      <c r="D29" s="6" t="s">
        <v>26</v>
      </c>
      <c r="E29" s="6">
        <v>3300</v>
      </c>
    </row>
    <row r="30" spans="1:8" x14ac:dyDescent="0.3">
      <c r="A30" s="3">
        <v>45826</v>
      </c>
      <c r="B30" s="4" t="s">
        <v>30</v>
      </c>
      <c r="C30" s="4" t="s">
        <v>13</v>
      </c>
      <c r="D30" s="4" t="s">
        <v>32</v>
      </c>
      <c r="E30" s="4">
        <v>2800</v>
      </c>
    </row>
    <row r="31" spans="1:8" x14ac:dyDescent="0.3">
      <c r="A31" s="5">
        <v>45833</v>
      </c>
      <c r="B31" s="6" t="s">
        <v>30</v>
      </c>
      <c r="C31" s="6" t="s">
        <v>15</v>
      </c>
      <c r="D31" s="6" t="s">
        <v>16</v>
      </c>
      <c r="E31" s="6">
        <v>2700</v>
      </c>
    </row>
    <row r="32" spans="1:8" x14ac:dyDescent="0.3">
      <c r="A32" s="3">
        <v>45843</v>
      </c>
      <c r="B32" s="4" t="s">
        <v>33</v>
      </c>
      <c r="C32" s="4" t="s">
        <v>6</v>
      </c>
      <c r="D32" s="4" t="s">
        <v>7</v>
      </c>
      <c r="E32" s="4">
        <v>12000</v>
      </c>
    </row>
    <row r="33" spans="1:8" x14ac:dyDescent="0.3">
      <c r="A33" s="5">
        <v>45846</v>
      </c>
      <c r="B33" s="6" t="s">
        <v>33</v>
      </c>
      <c r="C33" s="6" t="s">
        <v>8</v>
      </c>
      <c r="D33" s="6" t="s">
        <v>9</v>
      </c>
      <c r="E33" s="6">
        <v>4100</v>
      </c>
      <c r="H33" s="9" t="s">
        <v>31</v>
      </c>
    </row>
    <row r="34" spans="1:8" x14ac:dyDescent="0.3">
      <c r="A34" s="3">
        <v>45850</v>
      </c>
      <c r="B34" s="4" t="s">
        <v>33</v>
      </c>
      <c r="C34" s="4" t="s">
        <v>10</v>
      </c>
      <c r="D34" s="4" t="s">
        <v>22</v>
      </c>
      <c r="E34" s="4">
        <v>2600</v>
      </c>
      <c r="H34" s="8">
        <f>AVERAGEIF(B:B,"January",E:E)</f>
        <v>4780</v>
      </c>
    </row>
    <row r="35" spans="1:8" x14ac:dyDescent="0.3">
      <c r="A35" s="5">
        <v>45857</v>
      </c>
      <c r="B35" s="6" t="s">
        <v>33</v>
      </c>
      <c r="C35" s="6" t="s">
        <v>13</v>
      </c>
      <c r="D35" s="6" t="s">
        <v>14</v>
      </c>
      <c r="E35" s="6">
        <v>1800</v>
      </c>
    </row>
    <row r="36" spans="1:8" x14ac:dyDescent="0.3">
      <c r="A36" s="3">
        <v>45864</v>
      </c>
      <c r="B36" s="4" t="s">
        <v>33</v>
      </c>
      <c r="C36" s="4" t="s">
        <v>15</v>
      </c>
      <c r="D36" s="4" t="s">
        <v>16</v>
      </c>
      <c r="E36" s="4">
        <v>2400</v>
      </c>
    </row>
    <row r="37" spans="1:8" x14ac:dyDescent="0.3">
      <c r="A37" s="5">
        <v>45874</v>
      </c>
      <c r="B37" s="6" t="s">
        <v>34</v>
      </c>
      <c r="C37" s="6" t="s">
        <v>6</v>
      </c>
      <c r="D37" s="6" t="s">
        <v>7</v>
      </c>
      <c r="E37" s="6">
        <v>12000</v>
      </c>
    </row>
    <row r="38" spans="1:8" x14ac:dyDescent="0.3">
      <c r="A38" s="3">
        <v>45878</v>
      </c>
      <c r="B38" s="4" t="s">
        <v>34</v>
      </c>
      <c r="C38" s="4" t="s">
        <v>8</v>
      </c>
      <c r="D38" s="4" t="s">
        <v>9</v>
      </c>
      <c r="E38" s="4">
        <v>4700</v>
      </c>
    </row>
    <row r="39" spans="1:8" x14ac:dyDescent="0.3">
      <c r="A39" s="5">
        <v>45883</v>
      </c>
      <c r="B39" s="6" t="s">
        <v>34</v>
      </c>
      <c r="C39" s="6" t="s">
        <v>10</v>
      </c>
      <c r="D39" s="6" t="s">
        <v>26</v>
      </c>
      <c r="E39" s="6">
        <v>3100</v>
      </c>
    </row>
    <row r="40" spans="1:8" x14ac:dyDescent="0.3">
      <c r="A40" s="3">
        <v>45889</v>
      </c>
      <c r="B40" s="4" t="s">
        <v>34</v>
      </c>
      <c r="C40" s="4" t="s">
        <v>13</v>
      </c>
      <c r="D40" s="4" t="s">
        <v>29</v>
      </c>
      <c r="E40" s="4">
        <v>2200</v>
      </c>
    </row>
    <row r="41" spans="1:8" x14ac:dyDescent="0.3">
      <c r="A41" s="5">
        <v>45895</v>
      </c>
      <c r="B41" s="6" t="s">
        <v>34</v>
      </c>
      <c r="C41" s="6" t="s">
        <v>15</v>
      </c>
      <c r="D41" s="6" t="s">
        <v>16</v>
      </c>
      <c r="E41" s="6">
        <v>2500</v>
      </c>
    </row>
    <row r="42" spans="1:8" x14ac:dyDescent="0.3">
      <c r="A42" s="3">
        <v>45905</v>
      </c>
      <c r="B42" s="4" t="s">
        <v>35</v>
      </c>
      <c r="C42" s="4" t="s">
        <v>6</v>
      </c>
      <c r="D42" s="4" t="s">
        <v>7</v>
      </c>
      <c r="E42" s="4">
        <v>12000</v>
      </c>
    </row>
    <row r="43" spans="1:8" x14ac:dyDescent="0.3">
      <c r="A43" s="5">
        <v>45908</v>
      </c>
      <c r="B43" s="6" t="s">
        <v>35</v>
      </c>
      <c r="C43" s="6" t="s">
        <v>8</v>
      </c>
      <c r="D43" s="6" t="s">
        <v>9</v>
      </c>
      <c r="E43" s="6">
        <v>4300</v>
      </c>
    </row>
    <row r="44" spans="1:8" x14ac:dyDescent="0.3">
      <c r="A44" s="3">
        <v>45913</v>
      </c>
      <c r="B44" s="4" t="s">
        <v>35</v>
      </c>
      <c r="C44" s="4" t="s">
        <v>10</v>
      </c>
      <c r="D44" s="4" t="s">
        <v>22</v>
      </c>
      <c r="E44" s="4">
        <v>2700</v>
      </c>
    </row>
    <row r="45" spans="1:8" x14ac:dyDescent="0.3">
      <c r="A45" s="5">
        <v>45918</v>
      </c>
      <c r="B45" s="6" t="s">
        <v>35</v>
      </c>
      <c r="C45" s="6" t="s">
        <v>13</v>
      </c>
      <c r="D45" s="6" t="s">
        <v>23</v>
      </c>
      <c r="E45" s="6">
        <v>2000</v>
      </c>
    </row>
    <row r="46" spans="1:8" x14ac:dyDescent="0.3">
      <c r="A46" s="3">
        <v>45925</v>
      </c>
      <c r="B46" s="4" t="s">
        <v>35</v>
      </c>
      <c r="C46" s="4" t="s">
        <v>15</v>
      </c>
      <c r="D46" s="4" t="s">
        <v>16</v>
      </c>
      <c r="E46" s="4">
        <v>2400</v>
      </c>
    </row>
    <row r="47" spans="1:8" x14ac:dyDescent="0.3">
      <c r="A47" s="5">
        <v>45935</v>
      </c>
      <c r="B47" s="6" t="s">
        <v>36</v>
      </c>
      <c r="C47" s="6" t="s">
        <v>6</v>
      </c>
      <c r="D47" s="6" t="s">
        <v>7</v>
      </c>
      <c r="E47" s="6">
        <v>12000</v>
      </c>
    </row>
    <row r="48" spans="1:8" x14ac:dyDescent="0.3">
      <c r="A48" s="3">
        <v>45939</v>
      </c>
      <c r="B48" s="4" t="s">
        <v>36</v>
      </c>
      <c r="C48" s="4" t="s">
        <v>8</v>
      </c>
      <c r="D48" s="4" t="s">
        <v>9</v>
      </c>
      <c r="E48" s="4">
        <v>5000</v>
      </c>
    </row>
    <row r="49" spans="1:5" x14ac:dyDescent="0.3">
      <c r="A49" s="5">
        <v>45944</v>
      </c>
      <c r="B49" s="6" t="s">
        <v>36</v>
      </c>
      <c r="C49" s="6" t="s">
        <v>10</v>
      </c>
      <c r="D49" s="6" t="s">
        <v>26</v>
      </c>
      <c r="E49" s="6">
        <v>3200</v>
      </c>
    </row>
    <row r="50" spans="1:5" x14ac:dyDescent="0.3">
      <c r="A50" s="3">
        <v>45950</v>
      </c>
      <c r="B50" s="4" t="s">
        <v>36</v>
      </c>
      <c r="C50" s="4" t="s">
        <v>13</v>
      </c>
      <c r="D50" s="4" t="s">
        <v>37</v>
      </c>
      <c r="E50" s="4">
        <v>3500</v>
      </c>
    </row>
    <row r="51" spans="1:5" x14ac:dyDescent="0.3">
      <c r="A51" s="5">
        <v>45956</v>
      </c>
      <c r="B51" s="6" t="s">
        <v>36</v>
      </c>
      <c r="C51" s="6" t="s">
        <v>15</v>
      </c>
      <c r="D51" s="6" t="s">
        <v>16</v>
      </c>
      <c r="E51" s="6">
        <v>2800</v>
      </c>
    </row>
    <row r="52" spans="1:5" x14ac:dyDescent="0.3">
      <c r="A52" s="3">
        <v>45966</v>
      </c>
      <c r="B52" s="4" t="s">
        <v>38</v>
      </c>
      <c r="C52" s="4" t="s">
        <v>6</v>
      </c>
      <c r="D52" s="4" t="s">
        <v>7</v>
      </c>
      <c r="E52" s="4">
        <v>12000</v>
      </c>
    </row>
    <row r="53" spans="1:5" x14ac:dyDescent="0.3">
      <c r="A53" s="5">
        <v>45969</v>
      </c>
      <c r="B53" s="6" t="s">
        <v>38</v>
      </c>
      <c r="C53" s="6" t="s">
        <v>8</v>
      </c>
      <c r="D53" s="6" t="s">
        <v>9</v>
      </c>
      <c r="E53" s="6">
        <v>4600</v>
      </c>
    </row>
    <row r="54" spans="1:5" x14ac:dyDescent="0.3">
      <c r="A54" s="3">
        <v>45974</v>
      </c>
      <c r="B54" s="4" t="s">
        <v>38</v>
      </c>
      <c r="C54" s="4" t="s">
        <v>10</v>
      </c>
      <c r="D54" s="4" t="s">
        <v>26</v>
      </c>
      <c r="E54" s="4">
        <v>3000</v>
      </c>
    </row>
    <row r="55" spans="1:5" x14ac:dyDescent="0.3">
      <c r="A55" s="5">
        <v>45980</v>
      </c>
      <c r="B55" s="6" t="s">
        <v>38</v>
      </c>
      <c r="C55" s="6" t="s">
        <v>13</v>
      </c>
      <c r="D55" s="6" t="s">
        <v>14</v>
      </c>
      <c r="E55" s="6">
        <v>2100</v>
      </c>
    </row>
    <row r="56" spans="1:5" x14ac:dyDescent="0.3">
      <c r="A56" s="3">
        <v>45986</v>
      </c>
      <c r="B56" s="4" t="s">
        <v>38</v>
      </c>
      <c r="C56" s="4" t="s">
        <v>15</v>
      </c>
      <c r="D56" s="4" t="s">
        <v>16</v>
      </c>
      <c r="E56" s="4">
        <v>2600</v>
      </c>
    </row>
    <row r="57" spans="1:5" x14ac:dyDescent="0.3">
      <c r="A57" s="5">
        <v>45996</v>
      </c>
      <c r="B57" s="6" t="s">
        <v>39</v>
      </c>
      <c r="C57" s="6" t="s">
        <v>6</v>
      </c>
      <c r="D57" s="6" t="s">
        <v>7</v>
      </c>
      <c r="E57" s="6">
        <v>12000</v>
      </c>
    </row>
    <row r="58" spans="1:5" x14ac:dyDescent="0.3">
      <c r="A58" s="3">
        <v>46000</v>
      </c>
      <c r="B58" s="4" t="s">
        <v>39</v>
      </c>
      <c r="C58" s="4" t="s">
        <v>8</v>
      </c>
      <c r="D58" s="4" t="s">
        <v>9</v>
      </c>
      <c r="E58" s="4">
        <v>5400</v>
      </c>
    </row>
    <row r="59" spans="1:5" x14ac:dyDescent="0.3">
      <c r="A59" s="5">
        <v>46005</v>
      </c>
      <c r="B59" s="6" t="s">
        <v>39</v>
      </c>
      <c r="C59" s="6" t="s">
        <v>10</v>
      </c>
      <c r="D59" s="6" t="s">
        <v>40</v>
      </c>
      <c r="E59" s="6">
        <v>3600</v>
      </c>
    </row>
    <row r="60" spans="1:5" x14ac:dyDescent="0.3">
      <c r="A60" s="3">
        <v>46011</v>
      </c>
      <c r="B60" s="4" t="s">
        <v>39</v>
      </c>
      <c r="C60" s="4" t="s">
        <v>13</v>
      </c>
      <c r="D60" s="4" t="s">
        <v>41</v>
      </c>
      <c r="E60" s="4">
        <v>4000</v>
      </c>
    </row>
    <row r="61" spans="1:5" x14ac:dyDescent="0.3">
      <c r="A61" s="10">
        <v>46017</v>
      </c>
      <c r="B61" s="11" t="s">
        <v>39</v>
      </c>
      <c r="C61" s="11" t="s">
        <v>15</v>
      </c>
      <c r="D61" s="11" t="s">
        <v>16</v>
      </c>
      <c r="E61" s="11">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 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majjih65@gmail.com</cp:lastModifiedBy>
  <dcterms:created xsi:type="dcterms:W3CDTF">2026-01-31T05:40:26Z</dcterms:created>
  <dcterms:modified xsi:type="dcterms:W3CDTF">2026-02-02T15:39:28Z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