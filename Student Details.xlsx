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e80312f189c70faa/Documents/"/>
    </mc:Choice>
  </mc:AlternateContent>
  <xr:revisionPtr revIDLastSave="0" documentId="8_{E4E3A1D0-3CC1-49E2-9E3E-6792FCCF45A6}" xr6:coauthVersionLast="47" xr6:coauthVersionMax="47" xr10:uidLastSave="{00000000-0000-0000-0000-000000000000}"/>
  <bookViews>
    <workbookView xWindow="-108" yWindow="-108" windowWidth="23256" windowHeight="12456" activeTab="1" xr2:uid="{F9D88ABA-0BB5-46EA-ABCA-7EB1FCFD4B99}"/>
  </bookViews>
  <sheets>
    <sheet name="Sheet3" sheetId="3" r:id="rId1"/>
    <sheet name="Sheet4" sheetId="4" r:id="rId2"/>
    <sheet name="Sheet1" sheetId="1" r:id="rId3"/>
  </sheets>
  <definedNames>
    <definedName name="Slicer_Department">#N/A</definedName>
    <definedName name="Slicer_Name">#N/A</definedName>
    <definedName name="Slicer_Semester">#N/A</definedName>
    <definedName name="Slicer_Student_ID">#N/A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1" l="1"/>
  <c r="N21" i="1" s="1" a="1"/>
  <c r="N21" i="1" s="1"/>
  <c r="L21" i="1"/>
  <c r="L20" i="1"/>
  <c r="M20" i="1" s="1"/>
  <c r="N20" i="1" s="1" a="1"/>
  <c r="N20" i="1" s="1"/>
  <c r="L19" i="1"/>
  <c r="M19" i="1" s="1"/>
  <c r="N19" i="1" s="1" a="1"/>
  <c r="N19" i="1" s="1"/>
  <c r="L18" i="1"/>
  <c r="M18" i="1" s="1"/>
  <c r="N18" i="1" s="1" a="1"/>
  <c r="N18" i="1" s="1"/>
  <c r="L17" i="1"/>
  <c r="M17" i="1" s="1"/>
  <c r="N17" i="1" s="1" a="1"/>
  <c r="N17" i="1" s="1"/>
  <c r="L16" i="1"/>
  <c r="M16" i="1" s="1"/>
  <c r="N16" i="1" s="1" a="1"/>
  <c r="N16" i="1" s="1"/>
  <c r="L15" i="1"/>
  <c r="M15" i="1" s="1"/>
  <c r="N15" i="1" s="1" a="1"/>
  <c r="N15" i="1" s="1"/>
  <c r="L14" i="1"/>
  <c r="M14" i="1" s="1"/>
  <c r="N14" i="1" s="1" a="1"/>
  <c r="N14" i="1" s="1"/>
  <c r="L13" i="1"/>
  <c r="M13" i="1" s="1"/>
  <c r="N13" i="1" s="1" a="1"/>
  <c r="N13" i="1" s="1"/>
  <c r="L12" i="1"/>
  <c r="M12" i="1" s="1"/>
  <c r="N12" i="1" s="1" a="1"/>
  <c r="N12" i="1" s="1"/>
  <c r="L11" i="1"/>
  <c r="M11" i="1" s="1"/>
  <c r="N11" i="1" s="1" a="1"/>
  <c r="N11" i="1" s="1"/>
  <c r="L10" i="1"/>
  <c r="M10" i="1" s="1"/>
  <c r="N10" i="1" s="1" a="1"/>
  <c r="N10" i="1" s="1"/>
  <c r="L9" i="1"/>
  <c r="M9" i="1" s="1"/>
  <c r="N9" i="1" s="1" a="1"/>
  <c r="N9" i="1" s="1"/>
  <c r="L8" i="1"/>
  <c r="M8" i="1" s="1"/>
  <c r="N8" i="1" s="1" a="1"/>
  <c r="N8" i="1" s="1"/>
  <c r="L7" i="1"/>
  <c r="M7" i="1" s="1"/>
  <c r="N7" i="1" s="1" a="1"/>
  <c r="N7" i="1" s="1"/>
  <c r="L6" i="1"/>
  <c r="M6" i="1" s="1"/>
  <c r="N6" i="1" s="1" a="1"/>
  <c r="N6" i="1" s="1"/>
  <c r="L5" i="1"/>
  <c r="M5" i="1" s="1"/>
  <c r="N5" i="1" s="1" a="1"/>
  <c r="N5" i="1" s="1"/>
  <c r="L4" i="1"/>
  <c r="M4" i="1" s="1"/>
  <c r="N4" i="1" s="1" a="1"/>
  <c r="N4" i="1" s="1"/>
  <c r="L3" i="1"/>
  <c r="M3" i="1" s="1"/>
  <c r="N3" i="1" s="1" a="1"/>
  <c r="N3" i="1" s="1"/>
  <c r="L2" i="1"/>
  <c r="M2" i="1" s="1"/>
  <c r="N2" i="1" s="1" a="1"/>
  <c r="N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<sst xmlns="http://schemas.openxmlformats.org/spreadsheetml/2006/main" count="130" uniqueCount="46">
  <si>
    <t>Student ID</t>
  </si>
  <si>
    <t>Name</t>
  </si>
  <si>
    <t>Gender</t>
  </si>
  <si>
    <t>Department</t>
  </si>
  <si>
    <t>Semester</t>
  </si>
  <si>
    <t>Attendance %</t>
  </si>
  <si>
    <t>English</t>
  </si>
  <si>
    <t>Physics</t>
  </si>
  <si>
    <t>Chemistry</t>
  </si>
  <si>
    <t>Drawing</t>
  </si>
  <si>
    <t>total marks</t>
  </si>
  <si>
    <t>percentage</t>
  </si>
  <si>
    <t>gpa</t>
  </si>
  <si>
    <t>Vijay</t>
  </si>
  <si>
    <t>Male</t>
  </si>
  <si>
    <t>CSE</t>
  </si>
  <si>
    <t>Lucky</t>
  </si>
  <si>
    <t>ECE</t>
  </si>
  <si>
    <t>Ramesh</t>
  </si>
  <si>
    <t>MECH</t>
  </si>
  <si>
    <t>Suresh</t>
  </si>
  <si>
    <t>Anil</t>
  </si>
  <si>
    <t>CIVIL</t>
  </si>
  <si>
    <t>Kiran</t>
  </si>
  <si>
    <t>Mahesh</t>
  </si>
  <si>
    <t>Prasad</t>
  </si>
  <si>
    <t>Naveen</t>
  </si>
  <si>
    <t>Harish</t>
  </si>
  <si>
    <t>Ravi</t>
  </si>
  <si>
    <t>Arun</t>
  </si>
  <si>
    <t>Teja</t>
  </si>
  <si>
    <t>Female</t>
  </si>
  <si>
    <t>Srikanth</t>
  </si>
  <si>
    <t>Vamsi</t>
  </si>
  <si>
    <t>Ajay</t>
  </si>
  <si>
    <t>Chaitanya</t>
  </si>
  <si>
    <t>Rohit</t>
  </si>
  <si>
    <t>Sunil</t>
  </si>
  <si>
    <t>Karthik</t>
  </si>
  <si>
    <t>Maths</t>
  </si>
  <si>
    <t>Row Labels</t>
  </si>
  <si>
    <t>Grand Total</t>
  </si>
  <si>
    <t>Sum of gpa</t>
  </si>
  <si>
    <t>Sum of Attendance %</t>
  </si>
  <si>
    <t>Sum of total marks</t>
  </si>
  <si>
    <t>Sum of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</si>
</sst>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6">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Details.xlsx]Sheet3!PivotTable1</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Sheet3!$A$4:$A$24</c:f>
              <c:strCache>
                <c:ptCount val="20"/>
                <c:pt idx="0">
                  <c:v>101</c:v>
                </c:pt>
                <c:pt idx="1">
                  <c:v>102</c:v>
                </c:pt>
                <c:pt idx="2">
                  <c:v>103</c:v>
                </c:pt>
                <c:pt idx="3">
                  <c:v>104</c:v>
                </c:pt>
                <c:pt idx="4">
                  <c:v>105</c:v>
                </c:pt>
                <c:pt idx="5">
                  <c:v>106</c:v>
                </c:pt>
                <c:pt idx="6">
                  <c:v>107</c:v>
                </c:pt>
                <c:pt idx="7">
                  <c:v>108</c:v>
                </c:pt>
                <c:pt idx="8">
                  <c:v>109</c:v>
                </c:pt>
                <c:pt idx="9">
                  <c:v>110</c:v>
                </c:pt>
                <c:pt idx="10">
                  <c:v>111</c:v>
                </c:pt>
                <c:pt idx="11">
                  <c:v>112</c:v>
                </c:pt>
                <c:pt idx="12">
                  <c:v>113</c:v>
                </c:pt>
                <c:pt idx="13">
                  <c:v>114</c:v>
                </c:pt>
                <c:pt idx="14">
                  <c:v>115</c:v>
                </c:pt>
                <c:pt idx="15">
                  <c:v>116</c:v>
                </c:pt>
                <c:pt idx="16">
                  <c:v>117</c:v>
                </c:pt>
                <c:pt idx="17">
                  <c:v>118</c:v>
                </c:pt>
                <c:pt idx="18">
                  <c:v>119</c:v>
                </c:pt>
                <c:pt idx="19">
                  <c:v>120</c:v>
                </c:pt>
              </c:strCache>
            </c:strRef>
          </c:cat>
          <c:val>
            <c:numRef>
              <c:f>Sheet3!$B$4:$B$24</c:f>
              <c:numCache>
                <c:formatCode>General</c:formatCode>
                <c:ptCount val="20"/>
                <c:pt idx="0">
                  <c:v>8</c:v>
                </c:pt>
                <c:pt idx="1">
                  <c:v>8</c:v>
                </c:pt>
                <c:pt idx="2">
                  <c:v>7</c:v>
                </c:pt>
                <c:pt idx="3">
                  <c:v>9</c:v>
                </c:pt>
                <c:pt idx="4">
                  <c:v>8</c:v>
                </c:pt>
                <c:pt idx="5">
                  <c:v>7</c:v>
                </c:pt>
                <c:pt idx="6">
                  <c:v>9</c:v>
                </c:pt>
                <c:pt idx="7">
                  <c:v>8</c:v>
                </c:pt>
                <c:pt idx="8">
                  <c:v>9</c:v>
                </c:pt>
                <c:pt idx="9">
                  <c:v>7</c:v>
                </c:pt>
                <c:pt idx="10">
                  <c:v>8</c:v>
                </c:pt>
                <c:pt idx="11">
                  <c:v>9</c:v>
                </c:pt>
                <c:pt idx="12">
                  <c:v>6</c:v>
                </c:pt>
                <c:pt idx="13">
                  <c:v>8</c:v>
                </c:pt>
                <c:pt idx="14">
                  <c:v>8</c:v>
                </c:pt>
                <c:pt idx="15">
                  <c:v>7</c:v>
                </c:pt>
                <c:pt idx="16">
                  <c:v>9</c:v>
                </c:pt>
                <c:pt idx="17">
                  <c:v>6</c:v>
                </c:pt>
                <c:pt idx="18">
                  <c:v>8</c:v>
                </c:pt>
                <c:pt idx="19">
                  <c:v>9</c:v>
                </c:pt>
              </c:numCache>
            </c:numRef>
          </c:val>
          <c:extLst>
            <c:ext xmlns:c16="http://schemas.microsoft.com/office/drawing/2014/chart" uri="{C3380CC4-5D6E-409C-BE32-E72D297353CC}">
              <c16:uniqueId val="{00000000-BDCC-4CB3-93E3-54828EF81219}"/>
            </c:ext>
          </c:extLst>
        </c:ser>
        <c:dLbls>
          <c:dLblPos val="outEnd"/>
          <c:showLegendKey val="0"/>
          <c:showVal val="1"/>
          <c:showCatName val="0"/>
          <c:showSerName val="0"/>
          <c:showPercent val="0"/>
          <c:showBubbleSize val="0"/>
        </c:dLbls>
        <c:gapWidth val="100"/>
        <c:overlap val="-24"/>
        <c:axId val="788885423"/>
        <c:axId val="788885903"/>
      </c:barChart>
      <c:catAx>
        <c:axId val="78888542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788885903"/>
        <c:crosses val="autoZero"/>
        <c:auto val="1"/>
        <c:lblAlgn val="ctr"/>
        <c:lblOffset val="100"/>
        <c:noMultiLvlLbl val="0"/>
      </c:catAx>
      <c:valAx>
        <c:axId val="788885903"/>
        <c:scaling>
          <c:orientation val="minMax"/>
        </c:scaling>
        <c:delete val="1"/>
        <c:axPos val="l"/>
        <c:numFmt formatCode="General" sourceLinked="1"/>
        <c:majorTickMark val="out"/>
        <c:minorTickMark val="none"/>
        <c:tickLblPos val="nextTo"/>
        <c:crossAx val="78888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Details.xlsx]Sheet3!PivotTable2</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Sheet3!$D$4:$D$24</c:f>
              <c:strCache>
                <c:ptCount val="20"/>
                <c:pt idx="0">
                  <c:v>Ajay</c:v>
                </c:pt>
                <c:pt idx="1">
                  <c:v>Anil</c:v>
                </c:pt>
                <c:pt idx="2">
                  <c:v>Arun</c:v>
                </c:pt>
                <c:pt idx="3">
                  <c:v>Chaitanya</c:v>
                </c:pt>
                <c:pt idx="4">
                  <c:v>Harish</c:v>
                </c:pt>
                <c:pt idx="5">
                  <c:v>Karthik</c:v>
                </c:pt>
                <c:pt idx="6">
                  <c:v>Kiran</c:v>
                </c:pt>
                <c:pt idx="7">
                  <c:v>Lucky</c:v>
                </c:pt>
                <c:pt idx="8">
                  <c:v>Mahesh</c:v>
                </c:pt>
                <c:pt idx="9">
                  <c:v>Naveen</c:v>
                </c:pt>
                <c:pt idx="10">
                  <c:v>Prasad</c:v>
                </c:pt>
                <c:pt idx="11">
                  <c:v>Ramesh</c:v>
                </c:pt>
                <c:pt idx="12">
                  <c:v>Ravi</c:v>
                </c:pt>
                <c:pt idx="13">
                  <c:v>Rohit</c:v>
                </c:pt>
                <c:pt idx="14">
                  <c:v>Srikanth</c:v>
                </c:pt>
                <c:pt idx="15">
                  <c:v>Sunil</c:v>
                </c:pt>
                <c:pt idx="16">
                  <c:v>Suresh</c:v>
                </c:pt>
                <c:pt idx="17">
                  <c:v>Teja</c:v>
                </c:pt>
                <c:pt idx="18">
                  <c:v>Vamsi</c:v>
                </c:pt>
                <c:pt idx="19">
                  <c:v>Vijay</c:v>
                </c:pt>
              </c:strCache>
            </c:strRef>
          </c:cat>
          <c:val>
            <c:numRef>
              <c:f>Sheet3!$E$4:$E$24</c:f>
              <c:numCache>
                <c:formatCode>General</c:formatCode>
                <c:ptCount val="20"/>
                <c:pt idx="0">
                  <c:v>76</c:v>
                </c:pt>
                <c:pt idx="1">
                  <c:v>80</c:v>
                </c:pt>
                <c:pt idx="2">
                  <c:v>96</c:v>
                </c:pt>
                <c:pt idx="3">
                  <c:v>91</c:v>
                </c:pt>
                <c:pt idx="4">
                  <c:v>72</c:v>
                </c:pt>
                <c:pt idx="5">
                  <c:v>93</c:v>
                </c:pt>
                <c:pt idx="6">
                  <c:v>70</c:v>
                </c:pt>
                <c:pt idx="7">
                  <c:v>88</c:v>
                </c:pt>
                <c:pt idx="8">
                  <c:v>90</c:v>
                </c:pt>
                <c:pt idx="9">
                  <c:v>94</c:v>
                </c:pt>
                <c:pt idx="10">
                  <c:v>78</c:v>
                </c:pt>
                <c:pt idx="11">
                  <c:v>75</c:v>
                </c:pt>
                <c:pt idx="12">
                  <c:v>82</c:v>
                </c:pt>
                <c:pt idx="13">
                  <c:v>68</c:v>
                </c:pt>
                <c:pt idx="14">
                  <c:v>85</c:v>
                </c:pt>
                <c:pt idx="15">
                  <c:v>83</c:v>
                </c:pt>
                <c:pt idx="16">
                  <c:v>95</c:v>
                </c:pt>
                <c:pt idx="17">
                  <c:v>65</c:v>
                </c:pt>
                <c:pt idx="18">
                  <c:v>88</c:v>
                </c:pt>
                <c:pt idx="19">
                  <c:v>92</c:v>
                </c:pt>
              </c:numCache>
            </c:numRef>
          </c:val>
          <c:extLst>
            <c:ext xmlns:c16="http://schemas.microsoft.com/office/drawing/2014/chart" uri="{C3380CC4-5D6E-409C-BE32-E72D297353CC}">
              <c16:uniqueId val="{00000000-6FCC-4F30-BA9A-98A3C055559D}"/>
            </c:ext>
          </c:extLst>
        </c:ser>
        <c:dLbls>
          <c:dLblPos val="outEnd"/>
          <c:showLegendKey val="0"/>
          <c:showVal val="1"/>
          <c:showCatName val="0"/>
          <c:showSerName val="0"/>
          <c:showPercent val="0"/>
          <c:showBubbleSize val="0"/>
        </c:dLbls>
        <c:gapWidth val="44"/>
        <c:overlap val="23"/>
        <c:axId val="1122281775"/>
        <c:axId val="1122282255"/>
      </c:barChart>
      <c:catAx>
        <c:axId val="112228177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1122282255"/>
        <c:crosses val="autoZero"/>
        <c:auto val="1"/>
        <c:lblAlgn val="ctr"/>
        <c:lblOffset val="100"/>
        <c:noMultiLvlLbl val="0"/>
      </c:catAx>
      <c:valAx>
        <c:axId val="112228225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228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Details.xlsx]Sheet3!PivotTable3</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06474190726155E-2"/>
          <c:y val="0.16101633129192183"/>
          <c:w val="0.89030796150481195"/>
          <c:h val="0.5547174832312628"/>
        </c:manualLayout>
      </c:layout>
      <c:lineChart>
        <c:grouping val="standard"/>
        <c:varyColors val="0"/>
        <c:ser>
          <c:idx val="0"/>
          <c:order val="0"/>
          <c:tx>
            <c:strRef>
              <c:f>Sheet3!$H$3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Sheet3!$G$4:$G$24</c:f>
              <c:strCache>
                <c:ptCount val="20"/>
                <c:pt idx="0">
                  <c:v>Ajay</c:v>
                </c:pt>
                <c:pt idx="1">
                  <c:v>Anil</c:v>
                </c:pt>
                <c:pt idx="2">
                  <c:v>Arun</c:v>
                </c:pt>
                <c:pt idx="3">
                  <c:v>Chaitanya</c:v>
                </c:pt>
                <c:pt idx="4">
                  <c:v>Harish</c:v>
                </c:pt>
                <c:pt idx="5">
                  <c:v>Karthik</c:v>
                </c:pt>
                <c:pt idx="6">
                  <c:v>Kiran</c:v>
                </c:pt>
                <c:pt idx="7">
                  <c:v>Lucky</c:v>
                </c:pt>
                <c:pt idx="8">
                  <c:v>Mahesh</c:v>
                </c:pt>
                <c:pt idx="9">
                  <c:v>Naveen</c:v>
                </c:pt>
                <c:pt idx="10">
                  <c:v>Prasad</c:v>
                </c:pt>
                <c:pt idx="11">
                  <c:v>Ramesh</c:v>
                </c:pt>
                <c:pt idx="12">
                  <c:v>Ravi</c:v>
                </c:pt>
                <c:pt idx="13">
                  <c:v>Rohit</c:v>
                </c:pt>
                <c:pt idx="14">
                  <c:v>Srikanth</c:v>
                </c:pt>
                <c:pt idx="15">
                  <c:v>Sunil</c:v>
                </c:pt>
                <c:pt idx="16">
                  <c:v>Suresh</c:v>
                </c:pt>
                <c:pt idx="17">
                  <c:v>Teja</c:v>
                </c:pt>
                <c:pt idx="18">
                  <c:v>Vamsi</c:v>
                </c:pt>
                <c:pt idx="19">
                  <c:v>Vijay</c:v>
                </c:pt>
              </c:strCache>
            </c:strRef>
          </c:cat>
          <c:val>
            <c:numRef>
              <c:f>Sheet3!$H$4:$H$24</c:f>
              <c:numCache>
                <c:formatCode>General</c:formatCode>
                <c:ptCount val="20"/>
                <c:pt idx="0">
                  <c:v>329</c:v>
                </c:pt>
                <c:pt idx="1">
                  <c:v>365</c:v>
                </c:pt>
                <c:pt idx="2">
                  <c:v>465</c:v>
                </c:pt>
                <c:pt idx="3">
                  <c:v>433</c:v>
                </c:pt>
                <c:pt idx="4">
                  <c:v>320</c:v>
                </c:pt>
                <c:pt idx="5">
                  <c:v>447</c:v>
                </c:pt>
                <c:pt idx="6">
                  <c:v>305</c:v>
                </c:pt>
                <c:pt idx="7">
                  <c:v>400</c:v>
                </c:pt>
                <c:pt idx="8">
                  <c:v>425</c:v>
                </c:pt>
                <c:pt idx="9">
                  <c:v>445</c:v>
                </c:pt>
                <c:pt idx="10">
                  <c:v>353</c:v>
                </c:pt>
                <c:pt idx="11">
                  <c:v>313</c:v>
                </c:pt>
                <c:pt idx="12">
                  <c:v>363</c:v>
                </c:pt>
                <c:pt idx="13">
                  <c:v>287</c:v>
                </c:pt>
                <c:pt idx="14">
                  <c:v>407</c:v>
                </c:pt>
                <c:pt idx="15">
                  <c:v>388</c:v>
                </c:pt>
                <c:pt idx="16">
                  <c:v>450</c:v>
                </c:pt>
                <c:pt idx="17">
                  <c:v>270</c:v>
                </c:pt>
                <c:pt idx="18">
                  <c:v>375</c:v>
                </c:pt>
                <c:pt idx="19">
                  <c:v>370</c:v>
                </c:pt>
              </c:numCache>
            </c:numRef>
          </c:val>
          <c:smooth val="0"/>
          <c:extLst>
            <c:ext xmlns:c16="http://schemas.microsoft.com/office/drawing/2014/chart" uri="{C3380CC4-5D6E-409C-BE32-E72D297353CC}">
              <c16:uniqueId val="{00000000-B4E5-4D7C-B6A2-9478B01F619E}"/>
            </c:ext>
          </c:extLst>
        </c:ser>
        <c:dLbls>
          <c:dLblPos val="t"/>
          <c:showLegendKey val="0"/>
          <c:showVal val="1"/>
          <c:showCatName val="0"/>
          <c:showSerName val="0"/>
          <c:showPercent val="0"/>
          <c:showBubbleSize val="0"/>
        </c:dLbls>
        <c:marker val="1"/>
        <c:smooth val="0"/>
        <c:axId val="1122288015"/>
        <c:axId val="1122288975"/>
      </c:lineChart>
      <c:catAx>
        <c:axId val="112228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1122288975"/>
        <c:crosses val="autoZero"/>
        <c:auto val="1"/>
        <c:lblAlgn val="ctr"/>
        <c:lblOffset val="100"/>
        <c:noMultiLvlLbl val="0"/>
      </c:catAx>
      <c:valAx>
        <c:axId val="1122288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112228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Details.xlsx]Sheet3!PivotTable4</c:name>
    <c:fmtId val="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Sheet3!$K$3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Sheet3!$J$4:$J$8</c:f>
              <c:strCache>
                <c:ptCount val="4"/>
                <c:pt idx="0">
                  <c:v>CIVIL</c:v>
                </c:pt>
                <c:pt idx="1">
                  <c:v>CSE</c:v>
                </c:pt>
                <c:pt idx="2">
                  <c:v>ECE</c:v>
                </c:pt>
                <c:pt idx="3">
                  <c:v>MECH</c:v>
                </c:pt>
              </c:strCache>
            </c:strRef>
          </c:cat>
          <c:val>
            <c:numRef>
              <c:f>Sheet3!$K$4:$K$8</c:f>
              <c:numCache>
                <c:formatCode>General</c:formatCode>
                <c:ptCount val="4"/>
                <c:pt idx="0">
                  <c:v>275.79999999999995</c:v>
                </c:pt>
                <c:pt idx="1">
                  <c:v>607</c:v>
                </c:pt>
                <c:pt idx="2">
                  <c:v>366.20000000000005</c:v>
                </c:pt>
                <c:pt idx="3">
                  <c:v>253</c:v>
                </c:pt>
              </c:numCache>
            </c:numRef>
          </c:val>
          <c:extLst>
            <c:ext xmlns:c16="http://schemas.microsoft.com/office/drawing/2014/chart" uri="{C3380CC4-5D6E-409C-BE32-E72D297353CC}">
              <c16:uniqueId val="{00000000-77BF-4C68-B0D5-C12D92617DB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Details.xlsx]Sheet3!PivotTable1</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Sheet3!$A$4:$A$24</c:f>
              <c:strCache>
                <c:ptCount val="20"/>
                <c:pt idx="0">
                  <c:v>101</c:v>
                </c:pt>
                <c:pt idx="1">
                  <c:v>102</c:v>
                </c:pt>
                <c:pt idx="2">
                  <c:v>103</c:v>
                </c:pt>
                <c:pt idx="3">
                  <c:v>104</c:v>
                </c:pt>
                <c:pt idx="4">
                  <c:v>105</c:v>
                </c:pt>
                <c:pt idx="5">
                  <c:v>106</c:v>
                </c:pt>
                <c:pt idx="6">
                  <c:v>107</c:v>
                </c:pt>
                <c:pt idx="7">
                  <c:v>108</c:v>
                </c:pt>
                <c:pt idx="8">
                  <c:v>109</c:v>
                </c:pt>
                <c:pt idx="9">
                  <c:v>110</c:v>
                </c:pt>
                <c:pt idx="10">
                  <c:v>111</c:v>
                </c:pt>
                <c:pt idx="11">
                  <c:v>112</c:v>
                </c:pt>
                <c:pt idx="12">
                  <c:v>113</c:v>
                </c:pt>
                <c:pt idx="13">
                  <c:v>114</c:v>
                </c:pt>
                <c:pt idx="14">
                  <c:v>115</c:v>
                </c:pt>
                <c:pt idx="15">
                  <c:v>116</c:v>
                </c:pt>
                <c:pt idx="16">
                  <c:v>117</c:v>
                </c:pt>
                <c:pt idx="17">
                  <c:v>118</c:v>
                </c:pt>
                <c:pt idx="18">
                  <c:v>119</c:v>
                </c:pt>
                <c:pt idx="19">
                  <c:v>120</c:v>
                </c:pt>
              </c:strCache>
            </c:strRef>
          </c:cat>
          <c:val>
            <c:numRef>
              <c:f>Sheet3!$B$4:$B$24</c:f>
              <c:numCache>
                <c:formatCode>General</c:formatCode>
                <c:ptCount val="20"/>
                <c:pt idx="0">
                  <c:v>8</c:v>
                </c:pt>
                <c:pt idx="1">
                  <c:v>8</c:v>
                </c:pt>
                <c:pt idx="2">
                  <c:v>7</c:v>
                </c:pt>
                <c:pt idx="3">
                  <c:v>9</c:v>
                </c:pt>
                <c:pt idx="4">
                  <c:v>8</c:v>
                </c:pt>
                <c:pt idx="5">
                  <c:v>7</c:v>
                </c:pt>
                <c:pt idx="6">
                  <c:v>9</c:v>
                </c:pt>
                <c:pt idx="7">
                  <c:v>8</c:v>
                </c:pt>
                <c:pt idx="8">
                  <c:v>9</c:v>
                </c:pt>
                <c:pt idx="9">
                  <c:v>7</c:v>
                </c:pt>
                <c:pt idx="10">
                  <c:v>8</c:v>
                </c:pt>
                <c:pt idx="11">
                  <c:v>9</c:v>
                </c:pt>
                <c:pt idx="12">
                  <c:v>6</c:v>
                </c:pt>
                <c:pt idx="13">
                  <c:v>8</c:v>
                </c:pt>
                <c:pt idx="14">
                  <c:v>8</c:v>
                </c:pt>
                <c:pt idx="15">
                  <c:v>7</c:v>
                </c:pt>
                <c:pt idx="16">
                  <c:v>9</c:v>
                </c:pt>
                <c:pt idx="17">
                  <c:v>6</c:v>
                </c:pt>
                <c:pt idx="18">
                  <c:v>8</c:v>
                </c:pt>
                <c:pt idx="19">
                  <c:v>9</c:v>
                </c:pt>
              </c:numCache>
            </c:numRef>
          </c:val>
          <c:extLst>
            <c:ext xmlns:c16="http://schemas.microsoft.com/office/drawing/2014/chart" uri="{C3380CC4-5D6E-409C-BE32-E72D297353CC}">
              <c16:uniqueId val="{00000000-9CCB-4E6F-8FDC-7D7B974E840D}"/>
            </c:ext>
          </c:extLst>
        </c:ser>
        <c:dLbls>
          <c:dLblPos val="outEnd"/>
          <c:showLegendKey val="0"/>
          <c:showVal val="1"/>
          <c:showCatName val="0"/>
          <c:showSerName val="0"/>
          <c:showPercent val="0"/>
          <c:showBubbleSize val="0"/>
        </c:dLbls>
        <c:gapWidth val="100"/>
        <c:overlap val="-24"/>
        <c:axId val="788885423"/>
        <c:axId val="788885903"/>
      </c:barChart>
      <c:catAx>
        <c:axId val="78888542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788885903"/>
        <c:crosses val="autoZero"/>
        <c:auto val="1"/>
        <c:lblAlgn val="ctr"/>
        <c:lblOffset val="100"/>
        <c:noMultiLvlLbl val="0"/>
      </c:catAx>
      <c:valAx>
        <c:axId val="788885903"/>
        <c:scaling>
          <c:orientation val="minMax"/>
        </c:scaling>
        <c:delete val="1"/>
        <c:axPos val="l"/>
        <c:numFmt formatCode="General" sourceLinked="1"/>
        <c:majorTickMark val="out"/>
        <c:minorTickMark val="none"/>
        <c:tickLblPos val="nextTo"/>
        <c:crossAx val="78888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Details.xlsx]Sheet3!PivotTable2</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Sheet3!$D$4:$D$24</c:f>
              <c:strCache>
                <c:ptCount val="20"/>
                <c:pt idx="0">
                  <c:v>Ajay</c:v>
                </c:pt>
                <c:pt idx="1">
                  <c:v>Anil</c:v>
                </c:pt>
                <c:pt idx="2">
                  <c:v>Arun</c:v>
                </c:pt>
                <c:pt idx="3">
                  <c:v>Chaitanya</c:v>
                </c:pt>
                <c:pt idx="4">
                  <c:v>Harish</c:v>
                </c:pt>
                <c:pt idx="5">
                  <c:v>Karthik</c:v>
                </c:pt>
                <c:pt idx="6">
                  <c:v>Kiran</c:v>
                </c:pt>
                <c:pt idx="7">
                  <c:v>Lucky</c:v>
                </c:pt>
                <c:pt idx="8">
                  <c:v>Mahesh</c:v>
                </c:pt>
                <c:pt idx="9">
                  <c:v>Naveen</c:v>
                </c:pt>
                <c:pt idx="10">
                  <c:v>Prasad</c:v>
                </c:pt>
                <c:pt idx="11">
                  <c:v>Ramesh</c:v>
                </c:pt>
                <c:pt idx="12">
                  <c:v>Ravi</c:v>
                </c:pt>
                <c:pt idx="13">
                  <c:v>Rohit</c:v>
                </c:pt>
                <c:pt idx="14">
                  <c:v>Srikanth</c:v>
                </c:pt>
                <c:pt idx="15">
                  <c:v>Sunil</c:v>
                </c:pt>
                <c:pt idx="16">
                  <c:v>Suresh</c:v>
                </c:pt>
                <c:pt idx="17">
                  <c:v>Teja</c:v>
                </c:pt>
                <c:pt idx="18">
                  <c:v>Vamsi</c:v>
                </c:pt>
                <c:pt idx="19">
                  <c:v>Vijay</c:v>
                </c:pt>
              </c:strCache>
            </c:strRef>
          </c:cat>
          <c:val>
            <c:numRef>
              <c:f>Sheet3!$E$4:$E$24</c:f>
              <c:numCache>
                <c:formatCode>General</c:formatCode>
                <c:ptCount val="20"/>
                <c:pt idx="0">
                  <c:v>76</c:v>
                </c:pt>
                <c:pt idx="1">
                  <c:v>80</c:v>
                </c:pt>
                <c:pt idx="2">
                  <c:v>96</c:v>
                </c:pt>
                <c:pt idx="3">
                  <c:v>91</c:v>
                </c:pt>
                <c:pt idx="4">
                  <c:v>72</c:v>
                </c:pt>
                <c:pt idx="5">
                  <c:v>93</c:v>
                </c:pt>
                <c:pt idx="6">
                  <c:v>70</c:v>
                </c:pt>
                <c:pt idx="7">
                  <c:v>88</c:v>
                </c:pt>
                <c:pt idx="8">
                  <c:v>90</c:v>
                </c:pt>
                <c:pt idx="9">
                  <c:v>94</c:v>
                </c:pt>
                <c:pt idx="10">
                  <c:v>78</c:v>
                </c:pt>
                <c:pt idx="11">
                  <c:v>75</c:v>
                </c:pt>
                <c:pt idx="12">
                  <c:v>82</c:v>
                </c:pt>
                <c:pt idx="13">
                  <c:v>68</c:v>
                </c:pt>
                <c:pt idx="14">
                  <c:v>85</c:v>
                </c:pt>
                <c:pt idx="15">
                  <c:v>83</c:v>
                </c:pt>
                <c:pt idx="16">
                  <c:v>95</c:v>
                </c:pt>
                <c:pt idx="17">
                  <c:v>65</c:v>
                </c:pt>
                <c:pt idx="18">
                  <c:v>88</c:v>
                </c:pt>
                <c:pt idx="19">
                  <c:v>92</c:v>
                </c:pt>
              </c:numCache>
            </c:numRef>
          </c:val>
          <c:extLst>
            <c:ext xmlns:c16="http://schemas.microsoft.com/office/drawing/2014/chart" uri="{C3380CC4-5D6E-409C-BE32-E72D297353CC}">
              <c16:uniqueId val="{00000000-A8C6-4FE0-9085-B33EBB5D5BDC}"/>
            </c:ext>
          </c:extLst>
        </c:ser>
        <c:dLbls>
          <c:dLblPos val="outEnd"/>
          <c:showLegendKey val="0"/>
          <c:showVal val="1"/>
          <c:showCatName val="0"/>
          <c:showSerName val="0"/>
          <c:showPercent val="0"/>
          <c:showBubbleSize val="0"/>
        </c:dLbls>
        <c:gapWidth val="44"/>
        <c:overlap val="23"/>
        <c:axId val="1122281775"/>
        <c:axId val="1122282255"/>
      </c:barChart>
      <c:catAx>
        <c:axId val="112228177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1122282255"/>
        <c:crosses val="autoZero"/>
        <c:auto val="1"/>
        <c:lblAlgn val="ctr"/>
        <c:lblOffset val="100"/>
        <c:noMultiLvlLbl val="0"/>
      </c:catAx>
      <c:valAx>
        <c:axId val="112228225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228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Details.xlsx]Sheet3!PivotTable3</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06474190726155E-2"/>
          <c:y val="0.16101633129192183"/>
          <c:w val="0.89030796150481195"/>
          <c:h val="0.5547174832312628"/>
        </c:manualLayout>
      </c:layout>
      <c:lineChart>
        <c:grouping val="standard"/>
        <c:varyColors val="0"/>
        <c:ser>
          <c:idx val="0"/>
          <c:order val="0"/>
          <c:tx>
            <c:strRef>
              <c:f>Sheet3!$H$3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Sheet3!$G$4:$G$24</c:f>
              <c:strCache>
                <c:ptCount val="20"/>
                <c:pt idx="0">
                  <c:v>Ajay</c:v>
                </c:pt>
                <c:pt idx="1">
                  <c:v>Anil</c:v>
                </c:pt>
                <c:pt idx="2">
                  <c:v>Arun</c:v>
                </c:pt>
                <c:pt idx="3">
                  <c:v>Chaitanya</c:v>
                </c:pt>
                <c:pt idx="4">
                  <c:v>Harish</c:v>
                </c:pt>
                <c:pt idx="5">
                  <c:v>Karthik</c:v>
                </c:pt>
                <c:pt idx="6">
                  <c:v>Kiran</c:v>
                </c:pt>
                <c:pt idx="7">
                  <c:v>Lucky</c:v>
                </c:pt>
                <c:pt idx="8">
                  <c:v>Mahesh</c:v>
                </c:pt>
                <c:pt idx="9">
                  <c:v>Naveen</c:v>
                </c:pt>
                <c:pt idx="10">
                  <c:v>Prasad</c:v>
                </c:pt>
                <c:pt idx="11">
                  <c:v>Ramesh</c:v>
                </c:pt>
                <c:pt idx="12">
                  <c:v>Ravi</c:v>
                </c:pt>
                <c:pt idx="13">
                  <c:v>Rohit</c:v>
                </c:pt>
                <c:pt idx="14">
                  <c:v>Srikanth</c:v>
                </c:pt>
                <c:pt idx="15">
                  <c:v>Sunil</c:v>
                </c:pt>
                <c:pt idx="16">
                  <c:v>Suresh</c:v>
                </c:pt>
                <c:pt idx="17">
                  <c:v>Teja</c:v>
                </c:pt>
                <c:pt idx="18">
                  <c:v>Vamsi</c:v>
                </c:pt>
                <c:pt idx="19">
                  <c:v>Vijay</c:v>
                </c:pt>
              </c:strCache>
            </c:strRef>
          </c:cat>
          <c:val>
            <c:numRef>
              <c:f>Sheet3!$H$4:$H$24</c:f>
              <c:numCache>
                <c:formatCode>General</c:formatCode>
                <c:ptCount val="20"/>
                <c:pt idx="0">
                  <c:v>329</c:v>
                </c:pt>
                <c:pt idx="1">
                  <c:v>365</c:v>
                </c:pt>
                <c:pt idx="2">
                  <c:v>465</c:v>
                </c:pt>
                <c:pt idx="3">
                  <c:v>433</c:v>
                </c:pt>
                <c:pt idx="4">
                  <c:v>320</c:v>
                </c:pt>
                <c:pt idx="5">
                  <c:v>447</c:v>
                </c:pt>
                <c:pt idx="6">
                  <c:v>305</c:v>
                </c:pt>
                <c:pt idx="7">
                  <c:v>400</c:v>
                </c:pt>
                <c:pt idx="8">
                  <c:v>425</c:v>
                </c:pt>
                <c:pt idx="9">
                  <c:v>445</c:v>
                </c:pt>
                <c:pt idx="10">
                  <c:v>353</c:v>
                </c:pt>
                <c:pt idx="11">
                  <c:v>313</c:v>
                </c:pt>
                <c:pt idx="12">
                  <c:v>363</c:v>
                </c:pt>
                <c:pt idx="13">
                  <c:v>287</c:v>
                </c:pt>
                <c:pt idx="14">
                  <c:v>407</c:v>
                </c:pt>
                <c:pt idx="15">
                  <c:v>388</c:v>
                </c:pt>
                <c:pt idx="16">
                  <c:v>450</c:v>
                </c:pt>
                <c:pt idx="17">
                  <c:v>270</c:v>
                </c:pt>
                <c:pt idx="18">
                  <c:v>375</c:v>
                </c:pt>
                <c:pt idx="19">
                  <c:v>370</c:v>
                </c:pt>
              </c:numCache>
            </c:numRef>
          </c:val>
          <c:smooth val="0"/>
          <c:extLst>
            <c:ext xmlns:c16="http://schemas.microsoft.com/office/drawing/2014/chart" uri="{C3380CC4-5D6E-409C-BE32-E72D297353CC}">
              <c16:uniqueId val="{00000000-24B3-423B-AFE1-371ED72548A7}"/>
            </c:ext>
          </c:extLst>
        </c:ser>
        <c:dLbls>
          <c:dLblPos val="t"/>
          <c:showLegendKey val="0"/>
          <c:showVal val="1"/>
          <c:showCatName val="0"/>
          <c:showSerName val="0"/>
          <c:showPercent val="0"/>
          <c:showBubbleSize val="0"/>
        </c:dLbls>
        <c:marker val="1"/>
        <c:smooth val="0"/>
        <c:axId val="1122288015"/>
        <c:axId val="1122288975"/>
      </c:lineChart>
      <c:catAx>
        <c:axId val="112228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1122288975"/>
        <c:crosses val="autoZero"/>
        <c:auto val="1"/>
        <c:lblAlgn val="ctr"/>
        <c:lblOffset val="100"/>
        <c:noMultiLvlLbl val="0"/>
      </c:catAx>
      <c:valAx>
        <c:axId val="1122288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112228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Details.xlsx]Sheet3!PivotTable4</c:name>
    <c:fmtId val="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Sheet3!$K$3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63-4CAF-9EC3-0627F458F73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63-4CAF-9EC3-0627F458F73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63-4CAF-9EC3-0627F458F73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463-4CAF-9EC3-0627F458F7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Sheet3!$J$4:$J$8</c:f>
              <c:strCache>
                <c:ptCount val="4"/>
                <c:pt idx="0">
                  <c:v>CIVIL</c:v>
                </c:pt>
                <c:pt idx="1">
                  <c:v>CSE</c:v>
                </c:pt>
                <c:pt idx="2">
                  <c:v>ECE</c:v>
                </c:pt>
                <c:pt idx="3">
                  <c:v>MECH</c:v>
                </c:pt>
              </c:strCache>
            </c:strRef>
          </c:cat>
          <c:val>
            <c:numRef>
              <c:f>Sheet3!$K$4:$K$8</c:f>
              <c:numCache>
                <c:formatCode>General</c:formatCode>
                <c:ptCount val="4"/>
                <c:pt idx="0">
                  <c:v>275.79999999999995</c:v>
                </c:pt>
                <c:pt idx="1">
                  <c:v>607</c:v>
                </c:pt>
                <c:pt idx="2">
                  <c:v>366.20000000000005</c:v>
                </c:pt>
                <c:pt idx="3">
                  <c:v>253</c:v>
                </c:pt>
              </c:numCache>
            </c:numRef>
          </c:val>
          <c:extLst>
            <c:ext xmlns:c16="http://schemas.microsoft.com/office/drawing/2014/chart" uri="{C3380CC4-5D6E-409C-BE32-E72D297353CC}">
              <c16:uniqueId val="{00000008-8463-4CAF-9EC3-0627F458F73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99060</xdr:colOff>
      <xdr:row>28</xdr:row>
      <xdr:rowOff>80010</xdr:rowOff>
    </xdr:from>
    <xdr:to>
      <xdr:col>4</xdr:col>
      <xdr:colOff>1196340</xdr:colOff>
      <xdr:row>43</xdr:row>
      <xdr:rowOff>80010</xdr:rowOff>
    </xdr:to>
    <xdr:graphicFrame macro="">
      <xdr:nvGraphicFramePr>
        <xdr:cNvPr id="2" name="Chart 1">
          <a:extLst>
            <a:ext uri="{FF2B5EF4-FFF2-40B4-BE49-F238E27FC236}">
              <a16:creationId xmlns:a16="http://schemas.microsoft.com/office/drawing/2014/main" id="{17043223-4A00-E187-0742-73F74DAF2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411480</xdr:colOff>
      <xdr:row>45</xdr:row>
      <xdr:rowOff>87630</xdr:rowOff>
    </xdr:from>
    <xdr:to>
      <xdr:col>7</xdr:col>
      <xdr:colOff>304800</xdr:colOff>
      <xdr:row>60</xdr:row>
      <xdr:rowOff>87630</xdr:rowOff>
    </xdr:to>
    <xdr:graphicFrame macro="">
      <xdr:nvGraphicFramePr>
        <xdr:cNvPr id="3" name="Chart 2">
          <a:extLst>
            <a:ext uri="{FF2B5EF4-FFF2-40B4-BE49-F238E27FC236}">
              <a16:creationId xmlns:a16="http://schemas.microsoft.com/office/drawing/2014/main" id="{67436B60-C4D3-0DBF-5591-6664B2ACC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464820</xdr:colOff>
      <xdr:row>29</xdr:row>
      <xdr:rowOff>87630</xdr:rowOff>
    </xdr:from>
    <xdr:to>
      <xdr:col>10</xdr:col>
      <xdr:colOff>449580</xdr:colOff>
      <xdr:row>44</xdr:row>
      <xdr:rowOff>87630</xdr:rowOff>
    </xdr:to>
    <xdr:graphicFrame macro="">
      <xdr:nvGraphicFramePr>
        <xdr:cNvPr id="4" name="Chart 3">
          <a:extLst>
            <a:ext uri="{FF2B5EF4-FFF2-40B4-BE49-F238E27FC236}">
              <a16:creationId xmlns:a16="http://schemas.microsoft.com/office/drawing/2014/main" id="{EE4D805B-F1E4-3DE0-FFA7-2ECE198F6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853440</xdr:colOff>
      <xdr:row>25</xdr:row>
      <xdr:rowOff>118110</xdr:rowOff>
    </xdr:from>
    <xdr:to>
      <xdr:col>12</xdr:col>
      <xdr:colOff>45720</xdr:colOff>
      <xdr:row>40</xdr:row>
      <xdr:rowOff>118110</xdr:rowOff>
    </xdr:to>
    <xdr:graphicFrame macro="">
      <xdr:nvGraphicFramePr>
        <xdr:cNvPr id="5" name="Chart 4">
          <a:extLst>
            <a:ext uri="{FF2B5EF4-FFF2-40B4-BE49-F238E27FC236}">
              <a16:creationId xmlns:a16="http://schemas.microsoft.com/office/drawing/2014/main" id="{483396D9-E6D2-BBBA-3546-4E6F06C50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746760</xdr:colOff>
      <xdr:row>3</xdr:row>
      <xdr:rowOff>7620</xdr:rowOff>
    </xdr:from>
    <xdr:to>
      <xdr:col>6</xdr:col>
      <xdr:colOff>685800</xdr:colOff>
      <xdr:row>17</xdr:row>
      <xdr:rowOff>28575</xdr:rowOff>
    </xdr:to>
    <mc:AlternateContent xmlns:mc="http://schemas.openxmlformats.org/markup-compatibility/2006">
      <mc:Choice xmlns:a14="http://schemas.microsoft.com/office/drawing/2010/main" Requires="a14">
        <xdr:graphicFrame macro="">
          <xdr:nvGraphicFramePr>
            <xdr:cNvPr id="6" name="Student ID">
              <a:extLst>
                <a:ext uri="{FF2B5EF4-FFF2-40B4-BE49-F238E27FC236}">
                  <a16:creationId xmlns:a16="http://schemas.microsoft.com/office/drawing/2014/main" id="{ACD7459A-015C-5EEB-2EAF-70ED2FE6C0CA}"/>
                </a:ext>
              </a:extLst>
            </xdr:cNvPr>
            <xdr:cNvGraphicFramePr/>
          </xdr:nvGraphicFramePr>
          <xdr:xfrm>
            <a:off x="0" y="0"/>
            <a:ext cx="0" cy="0"/>
          </xdr:xfrm>
          <a:graphic>
            <a:graphicData uri="http://schemas.microsoft.com/office/drawing/2010/slicer">
              <sle:slicer xmlns:sle="http://schemas.microsoft.com/office/drawing/2010/slicer" name="Student ID"/>
            </a:graphicData>
          </a:graphic>
        </xdr:graphicFrame>
      </mc:Choice>
      <mc:Fallback>
        <xdr:sp macro="" textlink="">
          <xdr:nvSpPr>
            <xdr:cNvPr id="0" name=""/>
            <xdr:cNvSpPr>
              <a:spLocks noTextEdit="1"/>
            </xdr:cNvSpPr>
          </xdr:nvSpPr>
          <xdr:spPr>
            <a:xfrm>
              <a:off x="4221480" y="556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1226820</xdr:colOff>
      <xdr:row>5</xdr:row>
      <xdr:rowOff>121920</xdr:rowOff>
    </xdr:from>
    <xdr:to>
      <xdr:col>7</xdr:col>
      <xdr:colOff>312420</xdr:colOff>
      <xdr:row>19</xdr:row>
      <xdr:rowOff>142875</xdr:rowOff>
    </xdr:to>
    <mc:AlternateContent xmlns:mc="http://schemas.openxmlformats.org/markup-compatibility/2006">
      <mc:Choice xmlns:a14="http://schemas.microsoft.com/office/drawing/2010/main" Requires="a14">
        <xdr:graphicFrame macro="">
          <xdr:nvGraphicFramePr>
            <xdr:cNvPr id="7" name="Name">
              <a:extLst>
                <a:ext uri="{FF2B5EF4-FFF2-40B4-BE49-F238E27FC236}">
                  <a16:creationId xmlns:a16="http://schemas.microsoft.com/office/drawing/2014/main" id="{60BB866C-398F-8B9E-BA56-CAE70652AD1A}"/>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4701540" y="1036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426720</xdr:colOff>
      <xdr:row>8</xdr:row>
      <xdr:rowOff>53340</xdr:rowOff>
    </xdr:from>
    <xdr:to>
      <xdr:col>7</xdr:col>
      <xdr:colOff>792480</xdr:colOff>
      <xdr:row>22</xdr:row>
      <xdr:rowOff>74295</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20BB3756-BCA5-FC77-3214-E49C6D027CC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181600" y="1516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297180</xdr:colOff>
      <xdr:row>10</xdr:row>
      <xdr:rowOff>167640</xdr:rowOff>
    </xdr:from>
    <xdr:to>
      <xdr:col>8</xdr:col>
      <xdr:colOff>137160</xdr:colOff>
      <xdr:row>25</xdr:row>
      <xdr:rowOff>5715</xdr:rowOff>
    </xdr:to>
    <mc:AlternateContent xmlns:mc="http://schemas.openxmlformats.org/markup-compatibility/2006">
      <mc:Choice xmlns:a14="http://schemas.microsoft.com/office/drawing/2010/main" Requires="a14">
        <xdr:graphicFrame macro="">
          <xdr:nvGraphicFramePr>
            <xdr:cNvPr id="9" name="Semester">
              <a:extLst>
                <a:ext uri="{FF2B5EF4-FFF2-40B4-BE49-F238E27FC236}">
                  <a16:creationId xmlns:a16="http://schemas.microsoft.com/office/drawing/2014/main" id="{C410EBF0-5773-18EF-1156-9F962CBB03DB}"/>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dr:sp macro="" textlink="">
          <xdr:nvSpPr>
            <xdr:cNvPr id="0" name=""/>
            <xdr:cNvSpPr>
              <a:spLocks noTextEdit="1"/>
            </xdr:cNvSpPr>
          </xdr:nvSpPr>
          <xdr:spPr>
            <a:xfrm>
              <a:off x="5661660" y="1996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45720</xdr:rowOff>
    </xdr:from>
    <xdr:to>
      <xdr:col>15</xdr:col>
      <xdr:colOff>68580</xdr:colOff>
      <xdr:row>4</xdr:row>
      <xdr:rowOff>121920</xdr:rowOff>
    </xdr:to>
    <xdr:sp macro="" textlink="">
      <xdr:nvSpPr>
        <xdr:cNvPr id="2" name="Rectangle: Rounded Corners 1">
          <a:extLst>
            <a:ext uri="{FF2B5EF4-FFF2-40B4-BE49-F238E27FC236}">
              <a16:creationId xmlns:a16="http://schemas.microsoft.com/office/drawing/2014/main" id="{7473A691-606E-8B40-2E16-BA8A81213239}"/>
            </a:ext>
          </a:extLst>
        </xdr:cNvPr>
        <xdr:cNvSpPr/>
      </xdr:nvSpPr>
      <xdr:spPr>
        <a:xfrm>
          <a:off x="38100" y="45720"/>
          <a:ext cx="9174480" cy="8077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a:solidFill>
                <a:schemeClr val="tx2">
                  <a:lumMod val="75000"/>
                  <a:lumOff val="25000"/>
                </a:schemeClr>
              </a:solidFill>
            </a:rPr>
            <a:t>                     Student</a:t>
          </a:r>
          <a:r>
            <a:rPr lang="en-IN" sz="3200" baseline="0">
              <a:solidFill>
                <a:schemeClr val="tx2">
                  <a:lumMod val="75000"/>
                  <a:lumOff val="25000"/>
                </a:schemeClr>
              </a:solidFill>
            </a:rPr>
            <a:t> details Dashboard-2026</a:t>
          </a:r>
          <a:endParaRPr lang="en-IN" sz="3200">
            <a:solidFill>
              <a:schemeClr val="tx2">
                <a:lumMod val="75000"/>
                <a:lumOff val="25000"/>
              </a:schemeClr>
            </a:solidFill>
          </a:endParaRPr>
        </a:p>
      </xdr:txBody>
    </xdr:sp>
    <xdr:clientData/>
  </xdr:twoCellAnchor>
  <xdr:twoCellAnchor>
    <xdr:from>
      <xdr:col>3</xdr:col>
      <xdr:colOff>228600</xdr:colOff>
      <xdr:row>6</xdr:row>
      <xdr:rowOff>68580</xdr:rowOff>
    </xdr:from>
    <xdr:to>
      <xdr:col>14</xdr:col>
      <xdr:colOff>586740</xdr:colOff>
      <xdr:row>43</xdr:row>
      <xdr:rowOff>129540</xdr:rowOff>
    </xdr:to>
    <xdr:sp macro="" textlink="">
      <xdr:nvSpPr>
        <xdr:cNvPr id="3" name="Rectangle 2">
          <a:extLst>
            <a:ext uri="{FF2B5EF4-FFF2-40B4-BE49-F238E27FC236}">
              <a16:creationId xmlns:a16="http://schemas.microsoft.com/office/drawing/2014/main" id="{82E39A45-E764-6199-D679-B15AB6EC857F}"/>
            </a:ext>
          </a:extLst>
        </xdr:cNvPr>
        <xdr:cNvSpPr/>
      </xdr:nvSpPr>
      <xdr:spPr>
        <a:xfrm>
          <a:off x="2057400" y="1165860"/>
          <a:ext cx="7063740" cy="68275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7620</xdr:colOff>
      <xdr:row>5</xdr:row>
      <xdr:rowOff>53340</xdr:rowOff>
    </xdr:from>
    <xdr:to>
      <xdr:col>3</xdr:col>
      <xdr:colOff>7620</xdr:colOff>
      <xdr:row>19</xdr:row>
      <xdr:rowOff>74295</xdr:rowOff>
    </xdr:to>
    <mc:AlternateContent xmlns:mc="http://schemas.openxmlformats.org/markup-compatibility/2006">
      <mc:Choice xmlns:a14="http://schemas.microsoft.com/office/drawing/2010/main" Requires="a14">
        <xdr:graphicFrame macro="">
          <xdr:nvGraphicFramePr>
            <xdr:cNvPr id="4" name="Student ID 1">
              <a:extLst>
                <a:ext uri="{FF2B5EF4-FFF2-40B4-BE49-F238E27FC236}">
                  <a16:creationId xmlns:a16="http://schemas.microsoft.com/office/drawing/2014/main" id="{689C43F6-7252-4C7B-B18F-9095E8070127}"/>
                </a:ext>
              </a:extLst>
            </xdr:cNvPr>
            <xdr:cNvGraphicFramePr/>
          </xdr:nvGraphicFramePr>
          <xdr:xfrm>
            <a:off x="0" y="0"/>
            <a:ext cx="0" cy="0"/>
          </xdr:xfrm>
          <a:graphic>
            <a:graphicData uri="http://schemas.microsoft.com/office/drawing/2010/slicer">
              <sle:slicer xmlns:sle="http://schemas.microsoft.com/office/drawing/2010/slicer" name="Student ID 1"/>
            </a:graphicData>
          </a:graphic>
        </xdr:graphicFrame>
      </mc:Choice>
      <mc:Fallback>
        <xdr:sp macro="" textlink="">
          <xdr:nvSpPr>
            <xdr:cNvPr id="0" name=""/>
            <xdr:cNvSpPr>
              <a:spLocks noTextEdit="1"/>
            </xdr:cNvSpPr>
          </xdr:nvSpPr>
          <xdr:spPr>
            <a:xfrm>
              <a:off x="7620" y="967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0</xdr:rowOff>
    </xdr:from>
    <xdr:to>
      <xdr:col>3</xdr:col>
      <xdr:colOff>0</xdr:colOff>
      <xdr:row>35</xdr:row>
      <xdr:rowOff>20955</xdr:rowOff>
    </xdr:to>
    <mc:AlternateContent xmlns:mc="http://schemas.openxmlformats.org/markup-compatibility/2006">
      <mc:Choice xmlns:a14="http://schemas.microsoft.com/office/drawing/2010/main" Requires="a14">
        <xdr:graphicFrame macro="">
          <xdr:nvGraphicFramePr>
            <xdr:cNvPr id="5" name="Name 1">
              <a:extLst>
                <a:ext uri="{FF2B5EF4-FFF2-40B4-BE49-F238E27FC236}">
                  <a16:creationId xmlns:a16="http://schemas.microsoft.com/office/drawing/2014/main" id="{08AD2D2A-A69F-43FD-B162-7263AD997D28}"/>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0" y="3840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6</xdr:row>
      <xdr:rowOff>0</xdr:rowOff>
    </xdr:from>
    <xdr:to>
      <xdr:col>18</xdr:col>
      <xdr:colOff>0</xdr:colOff>
      <xdr:row>20</xdr:row>
      <xdr:rowOff>20955</xdr:rowOff>
    </xdr:to>
    <mc:AlternateContent xmlns:mc="http://schemas.openxmlformats.org/markup-compatibility/2006">
      <mc:Choice xmlns:a14="http://schemas.microsoft.com/office/drawing/2010/main" Requires="a14">
        <xdr:graphicFrame macro="">
          <xdr:nvGraphicFramePr>
            <xdr:cNvPr id="6" name="Department 1">
              <a:extLst>
                <a:ext uri="{FF2B5EF4-FFF2-40B4-BE49-F238E27FC236}">
                  <a16:creationId xmlns:a16="http://schemas.microsoft.com/office/drawing/2014/main" id="{00F80F5C-691A-4FE1-8A54-4D22AC90DCC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144000" y="1097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22</xdr:row>
      <xdr:rowOff>0</xdr:rowOff>
    </xdr:from>
    <xdr:to>
      <xdr:col>18</xdr:col>
      <xdr:colOff>0</xdr:colOff>
      <xdr:row>36</xdr:row>
      <xdr:rowOff>20955</xdr:rowOff>
    </xdr:to>
    <mc:AlternateContent xmlns:mc="http://schemas.openxmlformats.org/markup-compatibility/2006">
      <mc:Choice xmlns:a14="http://schemas.microsoft.com/office/drawing/2010/main" Requires="a14">
        <xdr:graphicFrame macro="">
          <xdr:nvGraphicFramePr>
            <xdr:cNvPr id="7" name="Semester 1">
              <a:extLst>
                <a:ext uri="{FF2B5EF4-FFF2-40B4-BE49-F238E27FC236}">
                  <a16:creationId xmlns:a16="http://schemas.microsoft.com/office/drawing/2014/main" id="{98BA68E4-204C-409C-A2CA-386D3300E159}"/>
                </a:ext>
              </a:extLst>
            </xdr:cNvPr>
            <xdr:cNvGraphicFramePr/>
          </xdr:nvGraphicFramePr>
          <xdr:xfrm>
            <a:off x="0" y="0"/>
            <a:ext cx="0" cy="0"/>
          </xdr:xfrm>
          <a:graphic>
            <a:graphicData uri="http://schemas.microsoft.com/office/drawing/2010/slicer">
              <sle:slicer xmlns:sle="http://schemas.microsoft.com/office/drawing/2010/slicer" name="Semester 1"/>
            </a:graphicData>
          </a:graphic>
        </xdr:graphicFrame>
      </mc:Choice>
      <mc:Fallback>
        <xdr:sp macro="" textlink="">
          <xdr:nvSpPr>
            <xdr:cNvPr id="0" name=""/>
            <xdr:cNvSpPr>
              <a:spLocks noTextEdit="1"/>
            </xdr:cNvSpPr>
          </xdr:nvSpPr>
          <xdr:spPr>
            <a:xfrm>
              <a:off x="9144000" y="4023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6</xdr:row>
      <xdr:rowOff>68580</xdr:rowOff>
    </xdr:from>
    <xdr:to>
      <xdr:col>8</xdr:col>
      <xdr:colOff>365760</xdr:colOff>
      <xdr:row>20</xdr:row>
      <xdr:rowOff>76200</xdr:rowOff>
    </xdr:to>
    <xdr:graphicFrame macro="">
      <xdr:nvGraphicFramePr>
        <xdr:cNvPr id="8" name="Chart 7">
          <a:extLst>
            <a:ext uri="{FF2B5EF4-FFF2-40B4-BE49-F238E27FC236}">
              <a16:creationId xmlns:a16="http://schemas.microsoft.com/office/drawing/2014/main" id="{BD935F0C-E72A-4C7C-BDE4-D3C1D1DB1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518160</xdr:colOff>
      <xdr:row>6</xdr:row>
      <xdr:rowOff>45720</xdr:rowOff>
    </xdr:from>
    <xdr:to>
      <xdr:col>14</xdr:col>
      <xdr:colOff>586740</xdr:colOff>
      <xdr:row>20</xdr:row>
      <xdr:rowOff>53340</xdr:rowOff>
    </xdr:to>
    <xdr:graphicFrame macro="">
      <xdr:nvGraphicFramePr>
        <xdr:cNvPr id="9" name="Chart 8">
          <a:extLst>
            <a:ext uri="{FF2B5EF4-FFF2-40B4-BE49-F238E27FC236}">
              <a16:creationId xmlns:a16="http://schemas.microsoft.com/office/drawing/2014/main" id="{93B510C4-3488-4490-B571-F0E6E4C1E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251460</xdr:colOff>
      <xdr:row>21</xdr:row>
      <xdr:rowOff>53340</xdr:rowOff>
    </xdr:from>
    <xdr:to>
      <xdr:col>8</xdr:col>
      <xdr:colOff>373380</xdr:colOff>
      <xdr:row>34</xdr:row>
      <xdr:rowOff>99060</xdr:rowOff>
    </xdr:to>
    <xdr:graphicFrame macro="">
      <xdr:nvGraphicFramePr>
        <xdr:cNvPr id="10" name="Chart 9">
          <a:extLst>
            <a:ext uri="{FF2B5EF4-FFF2-40B4-BE49-F238E27FC236}">
              <a16:creationId xmlns:a16="http://schemas.microsoft.com/office/drawing/2014/main" id="{D6BC7BB2-EAAA-47B5-A129-05395F0FF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556260</xdr:colOff>
      <xdr:row>21</xdr:row>
      <xdr:rowOff>15240</xdr:rowOff>
    </xdr:from>
    <xdr:to>
      <xdr:col>14</xdr:col>
      <xdr:colOff>601980</xdr:colOff>
      <xdr:row>35</xdr:row>
      <xdr:rowOff>7620</xdr:rowOff>
    </xdr:to>
    <xdr:graphicFrame macro="">
      <xdr:nvGraphicFramePr>
        <xdr:cNvPr id="11" name="Chart 10">
          <a:extLst>
            <a:ext uri="{FF2B5EF4-FFF2-40B4-BE49-F238E27FC236}">
              <a16:creationId xmlns:a16="http://schemas.microsoft.com/office/drawing/2014/main" id="{4717220B-5718-43D9-93CD-E3DE959DF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refreshedDate="46050.404997569443" createdVersion="8" refreshedVersion="8" minRefreshableVersion="3" recordCount="20" xr:uid="{B9C6E8ED-0221-4156-97FE-A7F9E0CE71DE}">
  <cacheSource type="worksheet">
    <worksheetSource name="Table1"/>
  </cacheSource>
  <cacheFields count="14">
    <cacheField name="Student ID" numFmtId="0">
      <sharedItems containsSemiMixedTypes="0" containsString="0" containsNumber="1" containsInteger="1" minValue="101" maxValue="120" count="20">
        <n v="101"/>
        <n v="102"/>
        <n v="103"/>
        <n v="104"/>
        <n v="105"/>
        <n v="106"/>
        <n v="107"/>
        <n v="108"/>
        <n v="109"/>
        <n v="110"/>
        <n v="111"/>
        <n v="112"/>
        <n v="113"/>
        <n v="114"/>
        <n v="115"/>
        <n v="116"/>
        <n v="117"/>
        <n v="118"/>
        <n v="119"/>
        <n v="120"/>
      </sharedItems>
    </cacheField>
    <cacheField name="Name" numFmtId="0">
      <sharedItems count="20">
        <s v="Vijay"/>
        <s v="Lucky"/>
        <s v="Ramesh"/>
        <s v="Suresh"/>
        <s v="Anil"/>
        <s v="Kiran"/>
        <s v="Mahesh"/>
        <s v="Prasad"/>
        <s v="Naveen"/>
        <s v="Harish"/>
        <s v="Ravi"/>
        <s v="Arun"/>
        <s v="Teja"/>
        <s v="Srikanth"/>
        <s v="Vamsi"/>
        <s v="Ajay"/>
        <s v="Chaitanya"/>
        <s v="Rohit"/>
        <s v="Sunil"/>
        <s v="Karthik"/>
      </sharedItems>
    </cacheField>
    <cacheField name="Gender" numFmtId="0">
      <sharedItems/>
    </cacheField>
    <cacheField name="Department" numFmtId="0">
      <sharedItems count="4">
        <s v="CSE"/>
        <s v="ECE"/>
        <s v="MECH"/>
        <s v="CIVIL"/>
      </sharedItems>
    </cacheField>
    <cacheField name="Semester" numFmtId="0">
      <sharedItems containsSemiMixedTypes="0" containsString="0" containsNumber="1" containsInteger="1" minValue="1" maxValue="4" count="4">
        <n v="3"/>
        <n v="2"/>
        <n v="4"/>
        <n v="1"/>
      </sharedItems>
    </cacheField>
    <cacheField name="Attendance %" numFmtId="0">
      <sharedItems containsSemiMixedTypes="0" containsString="0" containsNumber="1" containsInteger="1" minValue="65" maxValue="96"/>
    </cacheField>
    <cacheField name="English" numFmtId="0">
      <sharedItems containsSemiMixedTypes="0" containsString="0" containsNumber="1" containsInteger="1" minValue="55" maxValue="92"/>
    </cacheField>
    <cacheField name="Physics" numFmtId="0">
      <sharedItems containsSemiMixedTypes="0" containsString="0" containsNumber="1" containsInteger="1" minValue="50" maxValue="94"/>
    </cacheField>
    <cacheField name="Maths" numFmtId="0">
      <sharedItems containsSemiMixedTypes="0" containsString="0" containsNumber="1" containsInteger="1" minValue="48" maxValue="92"/>
    </cacheField>
    <cacheField name="Chemistry" numFmtId="0">
      <sharedItems containsSemiMixedTypes="0" containsString="0" containsNumber="1" containsInteger="1" minValue="52" maxValue="93"/>
    </cacheField>
    <cacheField name="Drawing" numFmtId="0">
      <sharedItems containsSemiMixedTypes="0" containsString="0" containsNumber="1" containsInteger="1" minValue="65" maxValue="96"/>
    </cacheField>
    <cacheField name="total marks" numFmtId="0">
      <sharedItems containsSemiMixedTypes="0" containsString="0" containsNumber="1" containsInteger="1" minValue="270" maxValue="465"/>
    </cacheField>
    <cacheField name="percentage" numFmtId="0">
      <sharedItems containsSemiMixedTypes="0" containsString="0" containsNumber="1" minValue="54" maxValue="93"/>
    </cacheField>
    <cacheField name="gpa" numFmtId="0">
      <sharedItems containsSemiMixedTypes="0" containsString="0" containsNumber="1" containsInteger="1" minValue="6" maxValue="9"/>
    </cacheField>
  </cacheFields>
  <extLst>
    <ext xmlns:x14="http://schemas.microsoft.com/office/spreadsheetml/2009/9/main" uri="{725AE2AE-9491-48be-B2B4-4EB974FC3084}">
      <x14:pivotCacheDefinition pivotCacheId="808792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le"/>
    <x v="0"/>
    <x v="0"/>
    <n v="92"/>
    <n v="78"/>
    <n v="65"/>
    <n v="72"/>
    <n v="70"/>
    <n v="85"/>
    <n v="370"/>
    <n v="74"/>
    <n v="8"/>
  </r>
  <r>
    <x v="1"/>
    <x v="1"/>
    <s v="Male"/>
    <x v="1"/>
    <x v="0"/>
    <n v="88"/>
    <n v="82"/>
    <n v="74"/>
    <n v="80"/>
    <n v="76"/>
    <n v="88"/>
    <n v="400"/>
    <n v="80"/>
    <n v="8"/>
  </r>
  <r>
    <x v="2"/>
    <x v="2"/>
    <s v="Male"/>
    <x v="2"/>
    <x v="1"/>
    <n v="75"/>
    <n v="68"/>
    <n v="60"/>
    <n v="55"/>
    <n v="58"/>
    <n v="72"/>
    <n v="313"/>
    <n v="62.6"/>
    <n v="7"/>
  </r>
  <r>
    <x v="3"/>
    <x v="3"/>
    <s v="Male"/>
    <x v="0"/>
    <x v="2"/>
    <n v="95"/>
    <n v="90"/>
    <n v="88"/>
    <n v="92"/>
    <n v="85"/>
    <n v="95"/>
    <n v="450"/>
    <n v="90"/>
    <n v="9"/>
  </r>
  <r>
    <x v="4"/>
    <x v="4"/>
    <s v="Male"/>
    <x v="3"/>
    <x v="0"/>
    <n v="80"/>
    <n v="75"/>
    <n v="70"/>
    <n v="68"/>
    <n v="72"/>
    <n v="80"/>
    <n v="365"/>
    <n v="73"/>
    <n v="8"/>
  </r>
  <r>
    <x v="5"/>
    <x v="5"/>
    <s v="Male"/>
    <x v="1"/>
    <x v="1"/>
    <n v="70"/>
    <n v="60"/>
    <n v="55"/>
    <n v="58"/>
    <n v="62"/>
    <n v="70"/>
    <n v="305"/>
    <n v="61"/>
    <n v="7"/>
  </r>
  <r>
    <x v="6"/>
    <x v="6"/>
    <s v="Male"/>
    <x v="0"/>
    <x v="2"/>
    <n v="90"/>
    <n v="85"/>
    <n v="82"/>
    <n v="88"/>
    <n v="80"/>
    <n v="90"/>
    <n v="425"/>
    <n v="85"/>
    <n v="9"/>
  </r>
  <r>
    <x v="7"/>
    <x v="7"/>
    <s v="Male"/>
    <x v="2"/>
    <x v="0"/>
    <n v="78"/>
    <n v="72"/>
    <n v="68"/>
    <n v="70"/>
    <n v="65"/>
    <n v="78"/>
    <n v="353"/>
    <n v="70.599999999999994"/>
    <n v="8"/>
  </r>
  <r>
    <x v="8"/>
    <x v="8"/>
    <s v="Male"/>
    <x v="0"/>
    <x v="2"/>
    <n v="94"/>
    <n v="88"/>
    <n v="90"/>
    <n v="86"/>
    <n v="89"/>
    <n v="92"/>
    <n v="445"/>
    <n v="89"/>
    <n v="9"/>
  </r>
  <r>
    <x v="9"/>
    <x v="9"/>
    <s v="Male"/>
    <x v="3"/>
    <x v="1"/>
    <n v="72"/>
    <n v="65"/>
    <n v="60"/>
    <n v="62"/>
    <n v="58"/>
    <n v="75"/>
    <n v="320"/>
    <n v="64"/>
    <n v="7"/>
  </r>
  <r>
    <x v="10"/>
    <x v="10"/>
    <s v="Male"/>
    <x v="1"/>
    <x v="0"/>
    <n v="82"/>
    <n v="70"/>
    <n v="72"/>
    <n v="68"/>
    <n v="71"/>
    <n v="82"/>
    <n v="363"/>
    <n v="72.599999999999994"/>
    <n v="8"/>
  </r>
  <r>
    <x v="11"/>
    <x v="11"/>
    <s v="Male"/>
    <x v="0"/>
    <x v="2"/>
    <n v="96"/>
    <n v="92"/>
    <n v="94"/>
    <n v="90"/>
    <n v="93"/>
    <n v="96"/>
    <n v="465"/>
    <n v="93"/>
    <n v="9"/>
  </r>
  <r>
    <x v="12"/>
    <x v="12"/>
    <s v="Female"/>
    <x v="2"/>
    <x v="3"/>
    <n v="65"/>
    <n v="55"/>
    <n v="50"/>
    <n v="48"/>
    <n v="52"/>
    <n v="65"/>
    <n v="270"/>
    <n v="54"/>
    <n v="6"/>
  </r>
  <r>
    <x v="13"/>
    <x v="13"/>
    <s v="Male"/>
    <x v="3"/>
    <x v="0"/>
    <n v="85"/>
    <n v="80"/>
    <n v="78"/>
    <n v="82"/>
    <n v="79"/>
    <n v="88"/>
    <n v="407"/>
    <n v="81.399999999999991"/>
    <n v="8"/>
  </r>
  <r>
    <x v="14"/>
    <x v="14"/>
    <s v="Male"/>
    <x v="1"/>
    <x v="0"/>
    <n v="88"/>
    <n v="73"/>
    <n v="70"/>
    <n v="75"/>
    <n v="72"/>
    <n v="85"/>
    <n v="375"/>
    <n v="75"/>
    <n v="8"/>
  </r>
  <r>
    <x v="15"/>
    <x v="15"/>
    <s v="Male"/>
    <x v="2"/>
    <x v="1"/>
    <n v="76"/>
    <n v="67"/>
    <n v="65"/>
    <n v="60"/>
    <n v="63"/>
    <n v="74"/>
    <n v="329"/>
    <n v="65.8"/>
    <n v="7"/>
  </r>
  <r>
    <x v="16"/>
    <x v="16"/>
    <s v="Male"/>
    <x v="0"/>
    <x v="2"/>
    <n v="91"/>
    <n v="84"/>
    <n v="86"/>
    <n v="88"/>
    <n v="85"/>
    <n v="90"/>
    <n v="433"/>
    <n v="86.6"/>
    <n v="9"/>
  </r>
  <r>
    <x v="17"/>
    <x v="17"/>
    <s v="Male"/>
    <x v="3"/>
    <x v="3"/>
    <n v="68"/>
    <n v="58"/>
    <n v="55"/>
    <n v="52"/>
    <n v="54"/>
    <n v="68"/>
    <n v="287"/>
    <n v="57.4"/>
    <n v="6"/>
  </r>
  <r>
    <x v="18"/>
    <x v="18"/>
    <s v="Male"/>
    <x v="1"/>
    <x v="0"/>
    <n v="83"/>
    <n v="76"/>
    <n v="74"/>
    <n v="78"/>
    <n v="75"/>
    <n v="85"/>
    <n v="388"/>
    <n v="77.600000000000009"/>
    <n v="8"/>
  </r>
  <r>
    <x v="19"/>
    <x v="19"/>
    <s v="Male"/>
    <x v="0"/>
    <x v="2"/>
    <n v="93"/>
    <n v="89"/>
    <n v="87"/>
    <n v="90"/>
    <n v="88"/>
    <n v="93"/>
    <n v="447"/>
    <n v="89.4"/>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B262AA-397F-416A-9AFC-B67F277058BC}"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8" firstHeaderRow="1" firstDataRow="1" firstDataCol="1"/>
  <pivotFields count="14">
    <pivotField showAll="0">
      <items count="21">
        <item x="0"/>
        <item x="1"/>
        <item x="2"/>
        <item x="3"/>
        <item x="4"/>
        <item x="5"/>
        <item x="6"/>
        <item x="7"/>
        <item x="8"/>
        <item x="9"/>
        <item x="10"/>
        <item x="11"/>
        <item x="12"/>
        <item x="13"/>
        <item x="14"/>
        <item x="15"/>
        <item x="16"/>
        <item x="17"/>
        <item x="18"/>
        <item x="19"/>
        <item t="default"/>
      </items>
    </pivotField>
    <pivotField showAll="0">
      <items count="21">
        <item x="15"/>
        <item x="4"/>
        <item x="11"/>
        <item x="16"/>
        <item x="9"/>
        <item x="19"/>
        <item x="5"/>
        <item x="1"/>
        <item x="6"/>
        <item x="8"/>
        <item x="7"/>
        <item x="2"/>
        <item x="10"/>
        <item x="17"/>
        <item x="13"/>
        <item x="18"/>
        <item x="3"/>
        <item x="12"/>
        <item x="14"/>
        <item x="0"/>
        <item t="default"/>
      </items>
    </pivotField>
    <pivotField showAll="0"/>
    <pivotField axis="axisRow" showAll="0">
      <items count="5">
        <item x="3"/>
        <item x="0"/>
        <item x="1"/>
        <item x="2"/>
        <item t="default"/>
      </items>
    </pivotField>
    <pivotField showAll="0">
      <items count="5">
        <item x="3"/>
        <item x="1"/>
        <item x="0"/>
        <item x="2"/>
        <item t="default"/>
      </items>
    </pivotField>
    <pivotField showAll="0"/>
    <pivotField showAll="0"/>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percentage" fld="12" baseField="0" baseItem="0"/>
  </dataFields>
  <chartFormats count="16">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3" count="1" selected="0">
            <x v="0"/>
          </reference>
        </references>
      </pivotArea>
    </chartFormat>
    <chartFormat chart="5" format="3">
      <pivotArea type="data" outline="0" fieldPosition="0">
        <references count="2">
          <reference field="4294967294" count="1" selected="0">
            <x v="0"/>
          </reference>
          <reference field="3" count="1" selected="0">
            <x v="1"/>
          </reference>
        </references>
      </pivotArea>
    </chartFormat>
    <chartFormat chart="5" format="4">
      <pivotArea type="data" outline="0" fieldPosition="0">
        <references count="2">
          <reference field="4294967294" count="1" selected="0">
            <x v="0"/>
          </reference>
          <reference field="3" count="1" selected="0">
            <x v="2"/>
          </reference>
        </references>
      </pivotArea>
    </chartFormat>
    <chartFormat chart="5" format="5">
      <pivotArea type="data" outline="0" fieldPosition="0">
        <references count="2">
          <reference field="4294967294" count="1" selected="0">
            <x v="0"/>
          </reference>
          <reference field="3"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 chart="7" format="9">
      <pivotArea type="data" outline="0" fieldPosition="0">
        <references count="2">
          <reference field="4294967294" count="1" selected="0">
            <x v="0"/>
          </reference>
          <reference field="3" count="1" selected="0">
            <x v="2"/>
          </reference>
        </references>
      </pivotArea>
    </chartFormat>
    <chartFormat chart="7"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7B539E-DB74-421C-BEB2-1247D3C96E23}"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24" firstHeaderRow="1" firstDataRow="1" firstDataCol="1"/>
  <pivotFields count="14">
    <pivotField showAll="0">
      <items count="21">
        <item x="0"/>
        <item x="1"/>
        <item x="2"/>
        <item x="3"/>
        <item x="4"/>
        <item x="5"/>
        <item x="6"/>
        <item x="7"/>
        <item x="8"/>
        <item x="9"/>
        <item x="10"/>
        <item x="11"/>
        <item x="12"/>
        <item x="13"/>
        <item x="14"/>
        <item x="15"/>
        <item x="16"/>
        <item x="17"/>
        <item x="18"/>
        <item x="19"/>
        <item t="default"/>
      </items>
    </pivotField>
    <pivotField axis="axisRow" showAll="0">
      <items count="21">
        <item x="15"/>
        <item x="4"/>
        <item x="11"/>
        <item x="16"/>
        <item x="9"/>
        <item x="19"/>
        <item x="5"/>
        <item x="1"/>
        <item x="6"/>
        <item x="8"/>
        <item x="7"/>
        <item x="2"/>
        <item x="10"/>
        <item x="17"/>
        <item x="13"/>
        <item x="18"/>
        <item x="3"/>
        <item x="12"/>
        <item x="14"/>
        <item x="0"/>
        <item t="default"/>
      </items>
    </pivotField>
    <pivotField showAll="0"/>
    <pivotField showAll="0">
      <items count="5">
        <item x="3"/>
        <item x="0"/>
        <item x="1"/>
        <item x="2"/>
        <item t="default"/>
      </items>
    </pivotField>
    <pivotField showAll="0">
      <items count="5">
        <item x="3"/>
        <item x="1"/>
        <item x="0"/>
        <item x="2"/>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marks" fld="11"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35DE24-93FB-4FFE-8503-7D53B9153C16}"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24" firstHeaderRow="1" firstDataRow="1" firstDataCol="1"/>
  <pivotFields count="14">
    <pivotField showAll="0">
      <items count="21">
        <item x="0"/>
        <item x="1"/>
        <item x="2"/>
        <item x="3"/>
        <item x="4"/>
        <item x="5"/>
        <item x="6"/>
        <item x="7"/>
        <item x="8"/>
        <item x="9"/>
        <item x="10"/>
        <item x="11"/>
        <item x="12"/>
        <item x="13"/>
        <item x="14"/>
        <item x="15"/>
        <item x="16"/>
        <item x="17"/>
        <item x="18"/>
        <item x="19"/>
        <item t="default"/>
      </items>
    </pivotField>
    <pivotField axis="axisRow" showAll="0">
      <items count="21">
        <item x="15"/>
        <item x="4"/>
        <item x="11"/>
        <item x="16"/>
        <item x="9"/>
        <item x="19"/>
        <item x="5"/>
        <item x="1"/>
        <item x="6"/>
        <item x="8"/>
        <item x="7"/>
        <item x="2"/>
        <item x="10"/>
        <item x="17"/>
        <item x="13"/>
        <item x="18"/>
        <item x="3"/>
        <item x="12"/>
        <item x="14"/>
        <item x="0"/>
        <item t="default"/>
      </items>
    </pivotField>
    <pivotField showAll="0"/>
    <pivotField showAll="0">
      <items count="5">
        <item x="3"/>
        <item x="0"/>
        <item x="1"/>
        <item x="2"/>
        <item t="default"/>
      </items>
    </pivotField>
    <pivotField showAll="0">
      <items count="5">
        <item x="3"/>
        <item x="1"/>
        <item x="0"/>
        <item x="2"/>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ttendance %" fld="5"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6E3F52-3A7A-4B3B-883E-99603A6AB43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4" firstHeaderRow="1" firstDataRow="1" firstDataCol="1"/>
  <pivotFields count="14">
    <pivotField axis="axisRow" showAll="0">
      <items count="21">
        <item x="0"/>
        <item x="1"/>
        <item x="2"/>
        <item x="3"/>
        <item x="4"/>
        <item x="5"/>
        <item x="6"/>
        <item x="7"/>
        <item x="8"/>
        <item x="9"/>
        <item x="10"/>
        <item x="11"/>
        <item x="12"/>
        <item x="13"/>
        <item x="14"/>
        <item x="15"/>
        <item x="16"/>
        <item x="17"/>
        <item x="18"/>
        <item x="19"/>
        <item t="default"/>
      </items>
    </pivotField>
    <pivotField showAll="0">
      <items count="21">
        <item x="15"/>
        <item x="4"/>
        <item x="11"/>
        <item x="16"/>
        <item x="9"/>
        <item x="19"/>
        <item x="5"/>
        <item x="1"/>
        <item x="6"/>
        <item x="8"/>
        <item x="7"/>
        <item x="2"/>
        <item x="10"/>
        <item x="17"/>
        <item x="13"/>
        <item x="18"/>
        <item x="3"/>
        <item x="12"/>
        <item x="14"/>
        <item x="0"/>
        <item t="default"/>
      </items>
    </pivotField>
    <pivotField showAll="0"/>
    <pivotField showAll="0">
      <items count="5">
        <item x="3"/>
        <item x="0"/>
        <item x="1"/>
        <item x="2"/>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dataField="1"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gpa" fld="13"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FEAB72EA-EDAD-4782-96A1-4BF21398FE04}" sourceName="Student ID">
  <pivotTables>
    <pivotTable tabId="3" name="PivotTable1"/>
    <pivotTable tabId="3" name="PivotTable2"/>
    <pivotTable tabId="3" name="PivotTable3"/>
    <pivotTable tabId="3" name="PivotTable4"/>
  </pivotTables>
  <data>
    <tabular pivotCacheId="808792066">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B41EABAF-25AF-4D2B-9C9D-36D6A7CD6066}" sourceName="Name">
  <pivotTables>
    <pivotTable tabId="3" name="PivotTable1"/>
    <pivotTable tabId="3" name="PivotTable2"/>
    <pivotTable tabId="3" name="PivotTable3"/>
    <pivotTable tabId="3" name="PivotTable4"/>
  </pivotTables>
  <data>
    <tabular pivotCacheId="808792066">
      <items count="20">
        <i x="15" s="1"/>
        <i x="4" s="1"/>
        <i x="11" s="1"/>
        <i x="16" s="1"/>
        <i x="9" s="1"/>
        <i x="19" s="1"/>
        <i x="5" s="1"/>
        <i x="1" s="1"/>
        <i x="6" s="1"/>
        <i x="8" s="1"/>
        <i x="7" s="1"/>
        <i x="2" s="1"/>
        <i x="10" s="1"/>
        <i x="17" s="1"/>
        <i x="13" s="1"/>
        <i x="18" s="1"/>
        <i x="3" s="1"/>
        <i x="12" s="1"/>
        <i x="1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5D15733-B3D1-41C0-BF1E-7F4801ACBA51}" sourceName="Department">
  <pivotTables>
    <pivotTable tabId="3" name="PivotTable1"/>
    <pivotTable tabId="3" name="PivotTable2"/>
    <pivotTable tabId="3" name="PivotTable3"/>
    <pivotTable tabId="3" name="PivotTable4"/>
  </pivotTables>
  <data>
    <tabular pivotCacheId="808792066">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86D6EE0E-93CC-4F1B-AAD4-4EA7D8E0F829}" sourceName="Semester">
  <pivotTables>
    <pivotTable tabId="3" name="PivotTable1"/>
    <pivotTable tabId="3" name="PivotTable2"/>
    <pivotTable tabId="3" name="PivotTable3"/>
    <pivotTable tabId="3" name="PivotTable4"/>
  </pivotTables>
  <data>
    <tabular pivotCacheId="808792066">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ID" xr10:uid="{5000E09C-F0EE-4A62-90AE-996C40C2FBEC}" cache="Slicer_Student_ID" caption="Student ID" rowHeight="247650"/>
  <slicer name="Name" xr10:uid="{75FB1E4D-3FB2-4591-9DF4-1F7F053E3191}" cache="Slicer_Name" caption="Name" rowHeight="247650"/>
  <slicer name="Department" xr10:uid="{B9E707FB-7D8C-4305-B755-3DF0341A7B93}" cache="Slicer_Department" caption="Department" rowHeight="247650"/>
  <slicer name="Semester" xr10:uid="{3BED0833-D891-48E0-8C2A-DEE6EED0CF77}" cache="Slicer_Semester" caption="Semest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ID 1" xr10:uid="{ECA8F301-61A2-41DB-BF7E-5C0D380EB50B}" cache="Slicer_Student_ID" caption="Student ID" rowHeight="247650"/>
  <slicer name="Name 1" xr10:uid="{29003617-488D-4B1B-BFDE-1E4DCDCACFC9}" cache="Slicer_Name" caption="Name" rowHeight="247650"/>
  <slicer name="Department 1" xr10:uid="{059DEB28-9605-48CA-9513-A643CEEC40FE}" cache="Slicer_Department" caption="Department" rowHeight="247650"/>
  <slicer name="Semester 1" xr10:uid="{FAA21293-DEB4-456C-B0B2-4718F1C19847}" cache="Slicer_Semester" caption="Semes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C86471-ABBB-4EFD-B08E-69DA8EC53D73}" name="Table1" displayName="Table1" ref="A1:N21" totalsRowShown="0" headerRowDxfId="15" dataDxfId="14">
  <autoFilter ref="A1:N21" xr:uid="{ECC86471-ABBB-4EFD-B08E-69DA8EC53D73}"/>
  <tableColumns count="14">
    <tableColumn id="1" xr3:uid="{65311E9A-8DB5-48CF-A31B-EEA77A60EC42}" name="Student ID" dataDxfId="13"/>
    <tableColumn id="2" xr3:uid="{437DA91D-5EA0-4DC3-8066-B6F023CE2937}" name="Name" dataDxfId="12"/>
    <tableColumn id="3" xr3:uid="{1D991F44-AC3B-4CC9-B676-2D10EA909885}" name="Gender" dataDxfId="11"/>
    <tableColumn id="4" xr3:uid="{C3D555DA-644A-4799-806A-94FF70FC5F5A}" name="Department" dataDxfId="10"/>
    <tableColumn id="5" xr3:uid="{BF2F0ACA-97E9-4F38-81CF-7280BE2196A4}" name="Semester" dataDxfId="9"/>
    <tableColumn id="6" xr3:uid="{3C5889A1-D814-44F4-A1D6-FD3B31735F6D}" name="Attendance %" dataDxfId="8"/>
    <tableColumn id="7" xr3:uid="{16A16F57-411D-4826-BF38-9E3295DE4B12}" name="English" dataDxfId="7"/>
    <tableColumn id="8" xr3:uid="{5039583A-068D-439A-A43C-FD1B3F84A753}" name="Physics" dataDxfId="6"/>
    <tableColumn id="9" xr3:uid="{37920A0E-4365-4D0B-A78A-DB7C65627D09}" name="Maths" dataDxfId="5"/>
    <tableColumn id="10" xr3:uid="{81A18148-DF8A-4DA0-B79E-E979BCA6ECD1}" name="Chemistry" dataDxfId="4"/>
    <tableColumn id="11" xr3:uid="{BA2B7E22-E8E3-4495-9837-03171CFC543E}" name="Drawing" dataDxfId="3"/>
    <tableColumn id="12" xr3:uid="{F7C0E2C2-CB28-4596-BFCC-FD3038A62700}" name="total marks" dataDxfId="2">
      <calculatedColumnFormula>SUM(G2:K2)</calculatedColumnFormula>
    </tableColumn>
    <tableColumn id="13" xr3:uid="{E7C52A9D-B92B-4CA4-8366-D29B60E8CF7A}" name="percentage" dataDxfId="1">
      <calculatedColumnFormula>L2/500*100</calculatedColumnFormula>
    </tableColumn>
    <tableColumn id="14" xr3:uid="{C9525C23-DCA6-4AB1-A0C4-1CECB737A8F1}" name="gpa" dataDxfId="0">
      <calculatedColumnFormula array="1">_xlfn.IFS(
M2&gt;=85,9,
M2&gt;=70,8,
M2&gt;=60,7,
M2&gt;=50,6,
TRUE,5
)</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808C5-C64A-4BC2-AF3C-E6BE84896C70}">
  <dimension ref="A3:K24"/>
  <sheetViews>
    <sheetView topLeftCell="A31" workbookViewId="0">
      <selection activeCell="A3" sqref="A3:B24"/>
    </sheetView>
  </sheetViews>
  <sheetFormatPr defaultRowHeight="14.4" x14ac:dyDescent="0.3"/>
  <cols>
    <col min="1" max="1" width="12.44140625" bestFit="1" customWidth="1"/>
    <col min="2" max="2" width="10" bestFit="1" customWidth="1"/>
    <col min="3" max="3" width="15.77734375" bestFit="1" customWidth="1"/>
    <col min="4" max="4" width="12.44140625" bestFit="1" customWidth="1"/>
    <col min="5" max="5" width="18.6640625" bestFit="1" customWidth="1"/>
    <col min="7" max="7" width="12.44140625" bestFit="1" customWidth="1"/>
    <col min="8" max="9" width="16.5546875" bestFit="1" customWidth="1"/>
    <col min="10" max="10" width="12.44140625" bestFit="1" customWidth="1"/>
    <col min="11" max="12" width="16.44140625" bestFit="1" customWidth="1"/>
  </cols>
  <sheetData>
    <row r="3" spans="1:11" x14ac:dyDescent="0.3">
      <c r="A3" s="4" t="s">
        <v>40</v>
      </c>
      <c r="B3" t="s">
        <v>42</v>
      </c>
      <c r="D3" s="4" t="s">
        <v>40</v>
      </c>
      <c r="E3" t="s">
        <v>43</v>
      </c>
      <c r="G3" s="4" t="s">
        <v>40</v>
      </c>
      <c r="H3" t="s">
        <v>44</v>
      </c>
      <c r="J3" s="4" t="s">
        <v>40</v>
      </c>
      <c r="K3" t="s">
        <v>45</v>
      </c>
    </row>
    <row r="4" spans="1:11" x14ac:dyDescent="0.3">
      <c r="A4" s="5">
        <v>101</v>
      </c>
      <c r="B4" s="3">
        <v>8</v>
      </c>
      <c r="D4" s="5" t="s">
        <v>34</v>
      </c>
      <c r="E4" s="3">
        <v>76</v>
      </c>
      <c r="G4" s="5" t="s">
        <v>34</v>
      </c>
      <c r="H4" s="3">
        <v>329</v>
      </c>
      <c r="J4" s="5" t="s">
        <v>22</v>
      </c>
      <c r="K4" s="3">
        <v>275.79999999999995</v>
      </c>
    </row>
    <row r="5" spans="1:11" x14ac:dyDescent="0.3">
      <c r="A5" s="5">
        <v>102</v>
      </c>
      <c r="B5" s="3">
        <v>8</v>
      </c>
      <c r="D5" s="5" t="s">
        <v>21</v>
      </c>
      <c r="E5" s="3">
        <v>80</v>
      </c>
      <c r="G5" s="5" t="s">
        <v>21</v>
      </c>
      <c r="H5" s="3">
        <v>365</v>
      </c>
      <c r="J5" s="5" t="s">
        <v>15</v>
      </c>
      <c r="K5" s="3">
        <v>607</v>
      </c>
    </row>
    <row r="6" spans="1:11" x14ac:dyDescent="0.3">
      <c r="A6" s="5">
        <v>103</v>
      </c>
      <c r="B6" s="3">
        <v>7</v>
      </c>
      <c r="D6" s="5" t="s">
        <v>29</v>
      </c>
      <c r="E6" s="3">
        <v>96</v>
      </c>
      <c r="G6" s="5" t="s">
        <v>29</v>
      </c>
      <c r="H6" s="3">
        <v>465</v>
      </c>
      <c r="J6" s="5" t="s">
        <v>17</v>
      </c>
      <c r="K6" s="3">
        <v>366.20000000000005</v>
      </c>
    </row>
    <row r="7" spans="1:11" x14ac:dyDescent="0.3">
      <c r="A7" s="5">
        <v>104</v>
      </c>
      <c r="B7" s="3">
        <v>9</v>
      </c>
      <c r="D7" s="5" t="s">
        <v>35</v>
      </c>
      <c r="E7" s="3">
        <v>91</v>
      </c>
      <c r="G7" s="5" t="s">
        <v>35</v>
      </c>
      <c r="H7" s="3">
        <v>433</v>
      </c>
      <c r="J7" s="5" t="s">
        <v>19</v>
      </c>
      <c r="K7" s="3">
        <v>253</v>
      </c>
    </row>
    <row r="8" spans="1:11" x14ac:dyDescent="0.3">
      <c r="A8" s="5">
        <v>105</v>
      </c>
      <c r="B8" s="3">
        <v>8</v>
      </c>
      <c r="D8" s="5" t="s">
        <v>27</v>
      </c>
      <c r="E8" s="3">
        <v>72</v>
      </c>
      <c r="G8" s="5" t="s">
        <v>27</v>
      </c>
      <c r="H8" s="3">
        <v>320</v>
      </c>
      <c r="J8" s="5" t="s">
        <v>41</v>
      </c>
      <c r="K8" s="3">
        <v>1502</v>
      </c>
    </row>
    <row r="9" spans="1:11" x14ac:dyDescent="0.3">
      <c r="A9" s="5">
        <v>106</v>
      </c>
      <c r="B9" s="3">
        <v>7</v>
      </c>
      <c r="D9" s="5" t="s">
        <v>38</v>
      </c>
      <c r="E9" s="3">
        <v>93</v>
      </c>
      <c r="G9" s="5" t="s">
        <v>38</v>
      </c>
      <c r="H9" s="3">
        <v>447</v>
      </c>
    </row>
    <row r="10" spans="1:11" x14ac:dyDescent="0.3">
      <c r="A10" s="5">
        <v>107</v>
      </c>
      <c r="B10" s="3">
        <v>9</v>
      </c>
      <c r="D10" s="5" t="s">
        <v>23</v>
      </c>
      <c r="E10" s="3">
        <v>70</v>
      </c>
      <c r="G10" s="5" t="s">
        <v>23</v>
      </c>
      <c r="H10" s="3">
        <v>305</v>
      </c>
    </row>
    <row r="11" spans="1:11" x14ac:dyDescent="0.3">
      <c r="A11" s="5">
        <v>108</v>
      </c>
      <c r="B11" s="3">
        <v>8</v>
      </c>
      <c r="D11" s="5" t="s">
        <v>16</v>
      </c>
      <c r="E11" s="3">
        <v>88</v>
      </c>
      <c r="G11" s="5" t="s">
        <v>16</v>
      </c>
      <c r="H11" s="3">
        <v>400</v>
      </c>
    </row>
    <row r="12" spans="1:11" x14ac:dyDescent="0.3">
      <c r="A12" s="5">
        <v>109</v>
      </c>
      <c r="B12" s="3">
        <v>9</v>
      </c>
      <c r="D12" s="5" t="s">
        <v>24</v>
      </c>
      <c r="E12" s="3">
        <v>90</v>
      </c>
      <c r="G12" s="5" t="s">
        <v>24</v>
      </c>
      <c r="H12" s="3">
        <v>425</v>
      </c>
    </row>
    <row r="13" spans="1:11" x14ac:dyDescent="0.3">
      <c r="A13" s="5">
        <v>110</v>
      </c>
      <c r="B13" s="3">
        <v>7</v>
      </c>
      <c r="D13" s="5" t="s">
        <v>26</v>
      </c>
      <c r="E13" s="3">
        <v>94</v>
      </c>
      <c r="G13" s="5" t="s">
        <v>26</v>
      </c>
      <c r="H13" s="3">
        <v>445</v>
      </c>
    </row>
    <row r="14" spans="1:11" x14ac:dyDescent="0.3">
      <c r="A14" s="5">
        <v>111</v>
      </c>
      <c r="B14" s="3">
        <v>8</v>
      </c>
      <c r="D14" s="5" t="s">
        <v>25</v>
      </c>
      <c r="E14" s="3">
        <v>78</v>
      </c>
      <c r="G14" s="5" t="s">
        <v>25</v>
      </c>
      <c r="H14" s="3">
        <v>353</v>
      </c>
    </row>
    <row r="15" spans="1:11" x14ac:dyDescent="0.3">
      <c r="A15" s="5">
        <v>112</v>
      </c>
      <c r="B15" s="3">
        <v>9</v>
      </c>
      <c r="D15" s="5" t="s">
        <v>18</v>
      </c>
      <c r="E15" s="3">
        <v>75</v>
      </c>
      <c r="G15" s="5" t="s">
        <v>18</v>
      </c>
      <c r="H15" s="3">
        <v>313</v>
      </c>
    </row>
    <row r="16" spans="1:11" x14ac:dyDescent="0.3">
      <c r="A16" s="5">
        <v>113</v>
      </c>
      <c r="B16" s="3">
        <v>6</v>
      </c>
      <c r="D16" s="5" t="s">
        <v>28</v>
      </c>
      <c r="E16" s="3">
        <v>82</v>
      </c>
      <c r="G16" s="5" t="s">
        <v>28</v>
      </c>
      <c r="H16" s="3">
        <v>363</v>
      </c>
    </row>
    <row r="17" spans="1:8" x14ac:dyDescent="0.3">
      <c r="A17" s="5">
        <v>114</v>
      </c>
      <c r="B17" s="3">
        <v>8</v>
      </c>
      <c r="D17" s="5" t="s">
        <v>36</v>
      </c>
      <c r="E17" s="3">
        <v>68</v>
      </c>
      <c r="G17" s="5" t="s">
        <v>36</v>
      </c>
      <c r="H17" s="3">
        <v>287</v>
      </c>
    </row>
    <row r="18" spans="1:8" x14ac:dyDescent="0.3">
      <c r="A18" s="5">
        <v>115</v>
      </c>
      <c r="B18" s="3">
        <v>8</v>
      </c>
      <c r="D18" s="5" t="s">
        <v>32</v>
      </c>
      <c r="E18" s="3">
        <v>85</v>
      </c>
      <c r="G18" s="5" t="s">
        <v>32</v>
      </c>
      <c r="H18" s="3">
        <v>407</v>
      </c>
    </row>
    <row r="19" spans="1:8" x14ac:dyDescent="0.3">
      <c r="A19" s="5">
        <v>116</v>
      </c>
      <c r="B19" s="3">
        <v>7</v>
      </c>
      <c r="D19" s="5" t="s">
        <v>37</v>
      </c>
      <c r="E19" s="3">
        <v>83</v>
      </c>
      <c r="G19" s="5" t="s">
        <v>37</v>
      </c>
      <c r="H19" s="3">
        <v>388</v>
      </c>
    </row>
    <row r="20" spans="1:8" x14ac:dyDescent="0.3">
      <c r="A20" s="5">
        <v>117</v>
      </c>
      <c r="B20" s="3">
        <v>9</v>
      </c>
      <c r="D20" s="5" t="s">
        <v>20</v>
      </c>
      <c r="E20" s="3">
        <v>95</v>
      </c>
      <c r="G20" s="5" t="s">
        <v>20</v>
      </c>
      <c r="H20" s="3">
        <v>450</v>
      </c>
    </row>
    <row r="21" spans="1:8" x14ac:dyDescent="0.3">
      <c r="A21" s="5">
        <v>118</v>
      </c>
      <c r="B21" s="3">
        <v>6</v>
      </c>
      <c r="D21" s="5" t="s">
        <v>30</v>
      </c>
      <c r="E21" s="3">
        <v>65</v>
      </c>
      <c r="G21" s="5" t="s">
        <v>30</v>
      </c>
      <c r="H21" s="3">
        <v>270</v>
      </c>
    </row>
    <row r="22" spans="1:8" x14ac:dyDescent="0.3">
      <c r="A22" s="5">
        <v>119</v>
      </c>
      <c r="B22" s="3">
        <v>8</v>
      </c>
      <c r="D22" s="5" t="s">
        <v>33</v>
      </c>
      <c r="E22" s="3">
        <v>88</v>
      </c>
      <c r="G22" s="5" t="s">
        <v>33</v>
      </c>
      <c r="H22" s="3">
        <v>375</v>
      </c>
    </row>
    <row r="23" spans="1:8" x14ac:dyDescent="0.3">
      <c r="A23" s="5">
        <v>120</v>
      </c>
      <c r="B23" s="3">
        <v>9</v>
      </c>
      <c r="D23" s="5" t="s">
        <v>13</v>
      </c>
      <c r="E23" s="3">
        <v>92</v>
      </c>
      <c r="G23" s="5" t="s">
        <v>13</v>
      </c>
      <c r="H23" s="3">
        <v>370</v>
      </c>
    </row>
    <row r="24" spans="1:8" x14ac:dyDescent="0.3">
      <c r="A24" s="5" t="s">
        <v>41</v>
      </c>
      <c r="B24" s="3">
        <v>158</v>
      </c>
      <c r="D24" s="5" t="s">
        <v>41</v>
      </c>
      <c r="E24" s="3">
        <v>1661</v>
      </c>
      <c r="G24" s="5" t="s">
        <v>41</v>
      </c>
      <c r="H24" s="3">
        <v>7510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CC73-B212-4559-8C54-7D60613F3F5B}">
  <dimension ref="A7"/>
  <sheetViews>
    <sheetView tabSelected="1" topLeftCell="A6" workbookViewId="0">
      <selection activeCell="A7" sqref="A7:XFD7"/>
    </sheetView>
  </sheetViews>
  <sheetFormatPr defaultRowHeight="14.4" x14ac:dyDescent="0.3"/>
  <sheetData>
    <row r="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7F7D-FCFF-4F9D-B643-6D334A49662E}">
  <dimension ref="A1:N21"/>
  <sheetViews>
    <sheetView workbookViewId="0">
      <selection sqref="A1:N21"/>
    </sheetView>
  </sheetViews>
  <sheetFormatPr defaultRowHeight="14.4" x14ac:dyDescent="0.3"/>
  <cols>
    <col min="1" max="1" width="14.109375" customWidth="1"/>
    <col min="2" max="2" width="11.33203125" customWidth="1"/>
    <col min="3" max="3" width="11.6640625" customWidth="1"/>
    <col min="4" max="4" width="15.44140625" customWidth="1"/>
    <col min="5" max="5" width="11.5546875" customWidth="1"/>
    <col min="6" max="6" width="13.44140625" customWidth="1"/>
    <col min="7" max="7" width="11.21875" customWidth="1"/>
    <col min="8" max="8" width="12.109375" customWidth="1"/>
    <col min="9" max="9" width="11" customWidth="1"/>
    <col min="10" max="10" width="15.6640625" customWidth="1"/>
    <col min="11" max="11" width="12.33203125" customWidth="1"/>
    <col min="12" max="12" width="11.77734375" customWidth="1"/>
    <col min="13" max="13" width="14.33203125" customWidth="1"/>
  </cols>
  <sheetData>
    <row r="1" spans="1:14" ht="14.4" customHeight="1" x14ac:dyDescent="0.3">
      <c r="A1" s="1" t="s">
        <v>0</v>
      </c>
      <c r="B1" s="1" t="s">
        <v>1</v>
      </c>
      <c r="C1" s="1" t="s">
        <v>2</v>
      </c>
      <c r="D1" s="1" t="s">
        <v>3</v>
      </c>
      <c r="E1" s="1" t="s">
        <v>4</v>
      </c>
      <c r="F1" s="1" t="s">
        <v>5</v>
      </c>
      <c r="G1" s="1" t="s">
        <v>6</v>
      </c>
      <c r="H1" s="1" t="s">
        <v>7</v>
      </c>
      <c r="I1" s="1" t="s">
        <v>39</v>
      </c>
      <c r="J1" s="1" t="s">
        <v>8</v>
      </c>
      <c r="K1" s="1" t="s">
        <v>9</v>
      </c>
      <c r="L1" s="1" t="s">
        <v>10</v>
      </c>
      <c r="M1" s="1" t="s">
        <v>11</v>
      </c>
      <c r="N1" s="1" t="s">
        <v>12</v>
      </c>
    </row>
    <row r="2" spans="1:14" x14ac:dyDescent="0.3">
      <c r="A2" s="2">
        <v>101</v>
      </c>
      <c r="B2" s="2" t="s">
        <v>13</v>
      </c>
      <c r="C2" s="2" t="s">
        <v>14</v>
      </c>
      <c r="D2" s="2" t="s">
        <v>15</v>
      </c>
      <c r="E2" s="2">
        <v>3</v>
      </c>
      <c r="F2" s="2">
        <v>92</v>
      </c>
      <c r="G2" s="2">
        <v>78</v>
      </c>
      <c r="H2" s="2">
        <v>65</v>
      </c>
      <c r="I2" s="2">
        <v>72</v>
      </c>
      <c r="J2" s="2">
        <v>70</v>
      </c>
      <c r="K2" s="2">
        <v>85</v>
      </c>
      <c r="L2" s="2">
        <f t="shared" ref="L2:L21" si="0">SUM(G2:K2)</f>
        <v>370</v>
      </c>
      <c r="M2" s="2">
        <f t="shared" ref="M2:M21" si="1">L2/500*100</f>
        <v>74</v>
      </c>
      <c r="N2" s="2" cm="1">
        <f t="array" ref="N2">_xlfn.IFS(
M2&gt;=85,9,
M2&gt;=70,8,
M2&gt;=60,7,
M2&gt;=50,6,
TRUE,5
)</f>
        <v>8</v>
      </c>
    </row>
    <row r="3" spans="1:14" x14ac:dyDescent="0.3">
      <c r="A3" s="2">
        <v>102</v>
      </c>
      <c r="B3" s="2" t="s">
        <v>16</v>
      </c>
      <c r="C3" s="2" t="s">
        <v>14</v>
      </c>
      <c r="D3" s="2" t="s">
        <v>17</v>
      </c>
      <c r="E3" s="2">
        <v>3</v>
      </c>
      <c r="F3" s="2">
        <v>88</v>
      </c>
      <c r="G3" s="2">
        <v>82</v>
      </c>
      <c r="H3" s="2">
        <v>74</v>
      </c>
      <c r="I3" s="2">
        <v>80</v>
      </c>
      <c r="J3" s="2">
        <v>76</v>
      </c>
      <c r="K3" s="2">
        <v>88</v>
      </c>
      <c r="L3" s="2">
        <f t="shared" si="0"/>
        <v>400</v>
      </c>
      <c r="M3" s="2">
        <f t="shared" si="1"/>
        <v>80</v>
      </c>
      <c r="N3" s="2" cm="1">
        <f t="array" ref="N3">_xlfn.IFS(
M3&gt;=85,9,
M3&gt;=70,8,
M3&gt;=60,7,
M3&gt;=50,6,
TRUE,5
)</f>
        <v>8</v>
      </c>
    </row>
    <row r="4" spans="1:14" x14ac:dyDescent="0.3">
      <c r="A4" s="2">
        <v>103</v>
      </c>
      <c r="B4" s="2" t="s">
        <v>18</v>
      </c>
      <c r="C4" s="2" t="s">
        <v>14</v>
      </c>
      <c r="D4" s="2" t="s">
        <v>19</v>
      </c>
      <c r="E4" s="2">
        <v>2</v>
      </c>
      <c r="F4" s="2">
        <v>75</v>
      </c>
      <c r="G4" s="2">
        <v>68</v>
      </c>
      <c r="H4" s="2">
        <v>60</v>
      </c>
      <c r="I4" s="2">
        <v>55</v>
      </c>
      <c r="J4" s="2">
        <v>58</v>
      </c>
      <c r="K4" s="2">
        <v>72</v>
      </c>
      <c r="L4" s="2">
        <f t="shared" si="0"/>
        <v>313</v>
      </c>
      <c r="M4" s="2">
        <f t="shared" si="1"/>
        <v>62.6</v>
      </c>
      <c r="N4" s="2" cm="1">
        <f t="array" ref="N4">_xlfn.IFS(
M4&gt;=85,9,
M4&gt;=70,8,
M4&gt;=60,7,
M4&gt;=50,6,
TRUE,5
)</f>
        <v>7</v>
      </c>
    </row>
    <row r="5" spans="1:14" x14ac:dyDescent="0.3">
      <c r="A5" s="2">
        <v>104</v>
      </c>
      <c r="B5" s="2" t="s">
        <v>20</v>
      </c>
      <c r="C5" s="2" t="s">
        <v>14</v>
      </c>
      <c r="D5" s="2" t="s">
        <v>15</v>
      </c>
      <c r="E5" s="2">
        <v>4</v>
      </c>
      <c r="F5" s="2">
        <v>95</v>
      </c>
      <c r="G5" s="2">
        <v>90</v>
      </c>
      <c r="H5" s="2">
        <v>88</v>
      </c>
      <c r="I5" s="2">
        <v>92</v>
      </c>
      <c r="J5" s="2">
        <v>85</v>
      </c>
      <c r="K5" s="2">
        <v>95</v>
      </c>
      <c r="L5" s="2">
        <f t="shared" si="0"/>
        <v>450</v>
      </c>
      <c r="M5" s="2">
        <f t="shared" si="1"/>
        <v>90</v>
      </c>
      <c r="N5" s="2" cm="1">
        <f t="array" ref="N5">_xlfn.IFS(
M5&gt;=85,9,
M5&gt;=70,8,
M5&gt;=60,7,
M5&gt;=50,6,
TRUE,5
)</f>
        <v>9</v>
      </c>
    </row>
    <row r="6" spans="1:14" x14ac:dyDescent="0.3">
      <c r="A6" s="2">
        <v>105</v>
      </c>
      <c r="B6" s="2" t="s">
        <v>21</v>
      </c>
      <c r="C6" s="2" t="s">
        <v>14</v>
      </c>
      <c r="D6" s="2" t="s">
        <v>22</v>
      </c>
      <c r="E6" s="2">
        <v>3</v>
      </c>
      <c r="F6" s="2">
        <v>80</v>
      </c>
      <c r="G6" s="2">
        <v>75</v>
      </c>
      <c r="H6" s="2">
        <v>70</v>
      </c>
      <c r="I6" s="2">
        <v>68</v>
      </c>
      <c r="J6" s="2">
        <v>72</v>
      </c>
      <c r="K6" s="2">
        <v>80</v>
      </c>
      <c r="L6" s="2">
        <f t="shared" si="0"/>
        <v>365</v>
      </c>
      <c r="M6" s="2">
        <f t="shared" si="1"/>
        <v>73</v>
      </c>
      <c r="N6" s="2" cm="1">
        <f t="array" ref="N6">_xlfn.IFS(
M6&gt;=85,9,
M6&gt;=70,8,
M6&gt;=60,7,
M6&gt;=50,6,
TRUE,5
)</f>
        <v>8</v>
      </c>
    </row>
    <row r="7" spans="1:14" x14ac:dyDescent="0.3">
      <c r="A7" s="2">
        <v>106</v>
      </c>
      <c r="B7" s="2" t="s">
        <v>23</v>
      </c>
      <c r="C7" s="2" t="s">
        <v>14</v>
      </c>
      <c r="D7" s="2" t="s">
        <v>17</v>
      </c>
      <c r="E7" s="2">
        <v>2</v>
      </c>
      <c r="F7" s="2">
        <v>70</v>
      </c>
      <c r="G7" s="2">
        <v>60</v>
      </c>
      <c r="H7" s="2">
        <v>55</v>
      </c>
      <c r="I7" s="2">
        <v>58</v>
      </c>
      <c r="J7" s="2">
        <v>62</v>
      </c>
      <c r="K7" s="2">
        <v>70</v>
      </c>
      <c r="L7" s="2">
        <f t="shared" si="0"/>
        <v>305</v>
      </c>
      <c r="M7" s="2">
        <f t="shared" si="1"/>
        <v>61</v>
      </c>
      <c r="N7" s="2" cm="1">
        <f t="array" ref="N7">_xlfn.IFS(
M7&gt;=85,9,
M7&gt;=70,8,
M7&gt;=60,7,
M7&gt;=50,6,
TRUE,5
)</f>
        <v>7</v>
      </c>
    </row>
    <row r="8" spans="1:14" x14ac:dyDescent="0.3">
      <c r="A8" s="2">
        <v>107</v>
      </c>
      <c r="B8" s="2" t="s">
        <v>24</v>
      </c>
      <c r="C8" s="2" t="s">
        <v>14</v>
      </c>
      <c r="D8" s="2" t="s">
        <v>15</v>
      </c>
      <c r="E8" s="2">
        <v>4</v>
      </c>
      <c r="F8" s="2">
        <v>90</v>
      </c>
      <c r="G8" s="2">
        <v>85</v>
      </c>
      <c r="H8" s="2">
        <v>82</v>
      </c>
      <c r="I8" s="2">
        <v>88</v>
      </c>
      <c r="J8" s="2">
        <v>80</v>
      </c>
      <c r="K8" s="2">
        <v>90</v>
      </c>
      <c r="L8" s="2">
        <f t="shared" si="0"/>
        <v>425</v>
      </c>
      <c r="M8" s="2">
        <f t="shared" si="1"/>
        <v>85</v>
      </c>
      <c r="N8" s="2" cm="1">
        <f t="array" ref="N8">_xlfn.IFS(
M8&gt;=85,9,
M8&gt;=70,8,
M8&gt;=60,7,
M8&gt;=50,6,
TRUE,5
)</f>
        <v>9</v>
      </c>
    </row>
    <row r="9" spans="1:14" x14ac:dyDescent="0.3">
      <c r="A9" s="2">
        <v>108</v>
      </c>
      <c r="B9" s="2" t="s">
        <v>25</v>
      </c>
      <c r="C9" s="2" t="s">
        <v>14</v>
      </c>
      <c r="D9" s="2" t="s">
        <v>19</v>
      </c>
      <c r="E9" s="2">
        <v>3</v>
      </c>
      <c r="F9" s="2">
        <v>78</v>
      </c>
      <c r="G9" s="2">
        <v>72</v>
      </c>
      <c r="H9" s="2">
        <v>68</v>
      </c>
      <c r="I9" s="2">
        <v>70</v>
      </c>
      <c r="J9" s="2">
        <v>65</v>
      </c>
      <c r="K9" s="2">
        <v>78</v>
      </c>
      <c r="L9" s="2">
        <f t="shared" si="0"/>
        <v>353</v>
      </c>
      <c r="M9" s="2">
        <f t="shared" si="1"/>
        <v>70.599999999999994</v>
      </c>
      <c r="N9" s="2" cm="1">
        <f t="array" ref="N9">_xlfn.IFS(
M9&gt;=85,9,
M9&gt;=70,8,
M9&gt;=60,7,
M9&gt;=50,6,
TRUE,5
)</f>
        <v>8</v>
      </c>
    </row>
    <row r="10" spans="1:14" x14ac:dyDescent="0.3">
      <c r="A10" s="2">
        <v>109</v>
      </c>
      <c r="B10" s="2" t="s">
        <v>26</v>
      </c>
      <c r="C10" s="2" t="s">
        <v>14</v>
      </c>
      <c r="D10" s="2" t="s">
        <v>15</v>
      </c>
      <c r="E10" s="2">
        <v>4</v>
      </c>
      <c r="F10" s="2">
        <v>94</v>
      </c>
      <c r="G10" s="2">
        <v>88</v>
      </c>
      <c r="H10" s="2">
        <v>90</v>
      </c>
      <c r="I10" s="2">
        <v>86</v>
      </c>
      <c r="J10" s="2">
        <v>89</v>
      </c>
      <c r="K10" s="2">
        <v>92</v>
      </c>
      <c r="L10" s="2">
        <f t="shared" si="0"/>
        <v>445</v>
      </c>
      <c r="M10" s="2">
        <f t="shared" si="1"/>
        <v>89</v>
      </c>
      <c r="N10" s="2" cm="1">
        <f t="array" ref="N10">_xlfn.IFS(
M10&gt;=85,9,
M10&gt;=70,8,
M10&gt;=60,7,
M10&gt;=50,6,
TRUE,5
)</f>
        <v>9</v>
      </c>
    </row>
    <row r="11" spans="1:14" x14ac:dyDescent="0.3">
      <c r="A11" s="2">
        <v>110</v>
      </c>
      <c r="B11" s="2" t="s">
        <v>27</v>
      </c>
      <c r="C11" s="2" t="s">
        <v>14</v>
      </c>
      <c r="D11" s="2" t="s">
        <v>22</v>
      </c>
      <c r="E11" s="2">
        <v>2</v>
      </c>
      <c r="F11" s="2">
        <v>72</v>
      </c>
      <c r="G11" s="2">
        <v>65</v>
      </c>
      <c r="H11" s="2">
        <v>60</v>
      </c>
      <c r="I11" s="2">
        <v>62</v>
      </c>
      <c r="J11" s="2">
        <v>58</v>
      </c>
      <c r="K11" s="2">
        <v>75</v>
      </c>
      <c r="L11" s="2">
        <f t="shared" si="0"/>
        <v>320</v>
      </c>
      <c r="M11" s="2">
        <f t="shared" si="1"/>
        <v>64</v>
      </c>
      <c r="N11" s="2" cm="1">
        <f t="array" ref="N11">_xlfn.IFS(
M11&gt;=85,9,
M11&gt;=70,8,
M11&gt;=60,7,
M11&gt;=50,6,
TRUE,5
)</f>
        <v>7</v>
      </c>
    </row>
    <row r="12" spans="1:14" x14ac:dyDescent="0.3">
      <c r="A12" s="2">
        <v>111</v>
      </c>
      <c r="B12" s="2" t="s">
        <v>28</v>
      </c>
      <c r="C12" s="2" t="s">
        <v>14</v>
      </c>
      <c r="D12" s="2" t="s">
        <v>17</v>
      </c>
      <c r="E12" s="2">
        <v>3</v>
      </c>
      <c r="F12" s="2">
        <v>82</v>
      </c>
      <c r="G12" s="2">
        <v>70</v>
      </c>
      <c r="H12" s="2">
        <v>72</v>
      </c>
      <c r="I12" s="2">
        <v>68</v>
      </c>
      <c r="J12" s="2">
        <v>71</v>
      </c>
      <c r="K12" s="2">
        <v>82</v>
      </c>
      <c r="L12" s="2">
        <f t="shared" si="0"/>
        <v>363</v>
      </c>
      <c r="M12" s="2">
        <f t="shared" si="1"/>
        <v>72.599999999999994</v>
      </c>
      <c r="N12" s="2" cm="1">
        <f t="array" ref="N12">_xlfn.IFS(
M12&gt;=85,9,
M12&gt;=70,8,
M12&gt;=60,7,
M12&gt;=50,6,
TRUE,5
)</f>
        <v>8</v>
      </c>
    </row>
    <row r="13" spans="1:14" x14ac:dyDescent="0.3">
      <c r="A13" s="2">
        <v>112</v>
      </c>
      <c r="B13" s="2" t="s">
        <v>29</v>
      </c>
      <c r="C13" s="2" t="s">
        <v>14</v>
      </c>
      <c r="D13" s="2" t="s">
        <v>15</v>
      </c>
      <c r="E13" s="2">
        <v>4</v>
      </c>
      <c r="F13" s="2">
        <v>96</v>
      </c>
      <c r="G13" s="2">
        <v>92</v>
      </c>
      <c r="H13" s="2">
        <v>94</v>
      </c>
      <c r="I13" s="2">
        <v>90</v>
      </c>
      <c r="J13" s="2">
        <v>93</v>
      </c>
      <c r="K13" s="2">
        <v>96</v>
      </c>
      <c r="L13" s="2">
        <f t="shared" si="0"/>
        <v>465</v>
      </c>
      <c r="M13" s="2">
        <f t="shared" si="1"/>
        <v>93</v>
      </c>
      <c r="N13" s="2" cm="1">
        <f t="array" ref="N13">_xlfn.IFS(
M13&gt;=85,9,
M13&gt;=70,8,
M13&gt;=60,7,
M13&gt;=50,6,
TRUE,5
)</f>
        <v>9</v>
      </c>
    </row>
    <row r="14" spans="1:14" x14ac:dyDescent="0.3">
      <c r="A14" s="2">
        <v>113</v>
      </c>
      <c r="B14" s="2" t="s">
        <v>30</v>
      </c>
      <c r="C14" s="2" t="s">
        <v>31</v>
      </c>
      <c r="D14" s="2" t="s">
        <v>19</v>
      </c>
      <c r="E14" s="2">
        <v>1</v>
      </c>
      <c r="F14" s="2">
        <v>65</v>
      </c>
      <c r="G14" s="2">
        <v>55</v>
      </c>
      <c r="H14" s="2">
        <v>50</v>
      </c>
      <c r="I14" s="2">
        <v>48</v>
      </c>
      <c r="J14" s="2">
        <v>52</v>
      </c>
      <c r="K14" s="2">
        <v>65</v>
      </c>
      <c r="L14" s="2">
        <f t="shared" si="0"/>
        <v>270</v>
      </c>
      <c r="M14" s="2">
        <f t="shared" si="1"/>
        <v>54</v>
      </c>
      <c r="N14" s="2" cm="1">
        <f t="array" ref="N14">_xlfn.IFS(
M14&gt;=85,9,
M14&gt;=70,8,
M14&gt;=60,7,
M14&gt;=50,6,
TRUE,5
)</f>
        <v>6</v>
      </c>
    </row>
    <row r="15" spans="1:14" x14ac:dyDescent="0.3">
      <c r="A15" s="2">
        <v>114</v>
      </c>
      <c r="B15" s="2" t="s">
        <v>32</v>
      </c>
      <c r="C15" s="2" t="s">
        <v>14</v>
      </c>
      <c r="D15" s="2" t="s">
        <v>22</v>
      </c>
      <c r="E15" s="2">
        <v>3</v>
      </c>
      <c r="F15" s="2">
        <v>85</v>
      </c>
      <c r="G15" s="2">
        <v>80</v>
      </c>
      <c r="H15" s="2">
        <v>78</v>
      </c>
      <c r="I15" s="2">
        <v>82</v>
      </c>
      <c r="J15" s="2">
        <v>79</v>
      </c>
      <c r="K15" s="2">
        <v>88</v>
      </c>
      <c r="L15" s="2">
        <f t="shared" si="0"/>
        <v>407</v>
      </c>
      <c r="M15" s="2">
        <f t="shared" si="1"/>
        <v>81.399999999999991</v>
      </c>
      <c r="N15" s="2" cm="1">
        <f t="array" ref="N15">_xlfn.IFS(
M15&gt;=85,9,
M15&gt;=70,8,
M15&gt;=60,7,
M15&gt;=50,6,
TRUE,5
)</f>
        <v>8</v>
      </c>
    </row>
    <row r="16" spans="1:14" x14ac:dyDescent="0.3">
      <c r="A16" s="2">
        <v>115</v>
      </c>
      <c r="B16" s="2" t="s">
        <v>33</v>
      </c>
      <c r="C16" s="2" t="s">
        <v>14</v>
      </c>
      <c r="D16" s="2" t="s">
        <v>17</v>
      </c>
      <c r="E16" s="2">
        <v>3</v>
      </c>
      <c r="F16" s="2">
        <v>88</v>
      </c>
      <c r="G16" s="2">
        <v>73</v>
      </c>
      <c r="H16" s="2">
        <v>70</v>
      </c>
      <c r="I16" s="2">
        <v>75</v>
      </c>
      <c r="J16" s="2">
        <v>72</v>
      </c>
      <c r="K16" s="2">
        <v>85</v>
      </c>
      <c r="L16" s="2">
        <f t="shared" si="0"/>
        <v>375</v>
      </c>
      <c r="M16" s="2">
        <f t="shared" si="1"/>
        <v>75</v>
      </c>
      <c r="N16" s="2" cm="1">
        <f t="array" ref="N16">_xlfn.IFS(
M16&gt;=85,9,
M16&gt;=70,8,
M16&gt;=60,7,
M16&gt;=50,6,
TRUE,5
)</f>
        <v>8</v>
      </c>
    </row>
    <row r="17" spans="1:14" x14ac:dyDescent="0.3">
      <c r="A17" s="2">
        <v>116</v>
      </c>
      <c r="B17" s="2" t="s">
        <v>34</v>
      </c>
      <c r="C17" s="2" t="s">
        <v>14</v>
      </c>
      <c r="D17" s="2" t="s">
        <v>19</v>
      </c>
      <c r="E17" s="2">
        <v>2</v>
      </c>
      <c r="F17" s="2">
        <v>76</v>
      </c>
      <c r="G17" s="2">
        <v>67</v>
      </c>
      <c r="H17" s="2">
        <v>65</v>
      </c>
      <c r="I17" s="2">
        <v>60</v>
      </c>
      <c r="J17" s="2">
        <v>63</v>
      </c>
      <c r="K17" s="2">
        <v>74</v>
      </c>
      <c r="L17" s="2">
        <f t="shared" si="0"/>
        <v>329</v>
      </c>
      <c r="M17" s="2">
        <f t="shared" si="1"/>
        <v>65.8</v>
      </c>
      <c r="N17" s="2" cm="1">
        <f t="array" ref="N17">_xlfn.IFS(
M17&gt;=85,9,
M17&gt;=70,8,
M17&gt;=60,7,
M17&gt;=50,6,
TRUE,5
)</f>
        <v>7</v>
      </c>
    </row>
    <row r="18" spans="1:14" ht="28.8" x14ac:dyDescent="0.3">
      <c r="A18" s="2">
        <v>117</v>
      </c>
      <c r="B18" s="2" t="s">
        <v>35</v>
      </c>
      <c r="C18" s="2" t="s">
        <v>14</v>
      </c>
      <c r="D18" s="2" t="s">
        <v>15</v>
      </c>
      <c r="E18" s="2">
        <v>4</v>
      </c>
      <c r="F18" s="2">
        <v>91</v>
      </c>
      <c r="G18" s="2">
        <v>84</v>
      </c>
      <c r="H18" s="2">
        <v>86</v>
      </c>
      <c r="I18" s="2">
        <v>88</v>
      </c>
      <c r="J18" s="2">
        <v>85</v>
      </c>
      <c r="K18" s="2">
        <v>90</v>
      </c>
      <c r="L18" s="2">
        <f t="shared" si="0"/>
        <v>433</v>
      </c>
      <c r="M18" s="2">
        <f t="shared" si="1"/>
        <v>86.6</v>
      </c>
      <c r="N18" s="2" cm="1">
        <f t="array" ref="N18">_xlfn.IFS(
M18&gt;=85,9,
M18&gt;=70,8,
M18&gt;=60,7,
M18&gt;=50,6,
TRUE,5
)</f>
        <v>9</v>
      </c>
    </row>
    <row r="19" spans="1:14" x14ac:dyDescent="0.3">
      <c r="A19" s="2">
        <v>118</v>
      </c>
      <c r="B19" s="2" t="s">
        <v>36</v>
      </c>
      <c r="C19" s="2" t="s">
        <v>14</v>
      </c>
      <c r="D19" s="2" t="s">
        <v>22</v>
      </c>
      <c r="E19" s="2">
        <v>1</v>
      </c>
      <c r="F19" s="2">
        <v>68</v>
      </c>
      <c r="G19" s="2">
        <v>58</v>
      </c>
      <c r="H19" s="2">
        <v>55</v>
      </c>
      <c r="I19" s="2">
        <v>52</v>
      </c>
      <c r="J19" s="2">
        <v>54</v>
      </c>
      <c r="K19" s="2">
        <v>68</v>
      </c>
      <c r="L19" s="2">
        <f t="shared" si="0"/>
        <v>287</v>
      </c>
      <c r="M19" s="2">
        <f t="shared" si="1"/>
        <v>57.4</v>
      </c>
      <c r="N19" s="2" cm="1">
        <f t="array" ref="N19">_xlfn.IFS(
M19&gt;=85,9,
M19&gt;=70,8,
M19&gt;=60,7,
M19&gt;=50,6,
TRUE,5
)</f>
        <v>6</v>
      </c>
    </row>
    <row r="20" spans="1:14" x14ac:dyDescent="0.3">
      <c r="A20" s="2">
        <v>119</v>
      </c>
      <c r="B20" s="2" t="s">
        <v>37</v>
      </c>
      <c r="C20" s="2" t="s">
        <v>14</v>
      </c>
      <c r="D20" s="2" t="s">
        <v>17</v>
      </c>
      <c r="E20" s="2">
        <v>3</v>
      </c>
      <c r="F20" s="2">
        <v>83</v>
      </c>
      <c r="G20" s="2">
        <v>76</v>
      </c>
      <c r="H20" s="2">
        <v>74</v>
      </c>
      <c r="I20" s="2">
        <v>78</v>
      </c>
      <c r="J20" s="2">
        <v>75</v>
      </c>
      <c r="K20" s="2">
        <v>85</v>
      </c>
      <c r="L20" s="2">
        <f t="shared" si="0"/>
        <v>388</v>
      </c>
      <c r="M20" s="2">
        <f t="shared" si="1"/>
        <v>77.600000000000009</v>
      </c>
      <c r="N20" s="2" cm="1">
        <f t="array" ref="N20">_xlfn.IFS(
M20&gt;=85,9,
M20&gt;=70,8,
M20&gt;=60,7,
M20&gt;=50,6,
TRUE,5
)</f>
        <v>8</v>
      </c>
    </row>
    <row r="21" spans="1:14" x14ac:dyDescent="0.3">
      <c r="A21" s="2">
        <v>120</v>
      </c>
      <c r="B21" s="2" t="s">
        <v>38</v>
      </c>
      <c r="C21" s="2" t="s">
        <v>14</v>
      </c>
      <c r="D21" s="2" t="s">
        <v>15</v>
      </c>
      <c r="E21" s="2">
        <v>4</v>
      </c>
      <c r="F21" s="2">
        <v>93</v>
      </c>
      <c r="G21" s="2">
        <v>89</v>
      </c>
      <c r="H21" s="2">
        <v>87</v>
      </c>
      <c r="I21" s="2">
        <v>90</v>
      </c>
      <c r="J21" s="2">
        <v>88</v>
      </c>
      <c r="K21" s="2">
        <v>93</v>
      </c>
      <c r="L21" s="2">
        <f t="shared" si="0"/>
        <v>447</v>
      </c>
      <c r="M21" s="2">
        <f t="shared" si="1"/>
        <v>89.4</v>
      </c>
      <c r="N21" s="2" cm="1">
        <f t="array" ref="N21">_xlfn.IFS(
M21&gt;=85,9,
M21&gt;=70,8,
M21&gt;=60,7,
M21&gt;=50,6,
TRUE,5
)</f>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majjih65@gmail.com</dc:creator>
  <cp:lastModifiedBy>majjih65@gmail.com</cp:lastModifiedBy>
  <dcterms:created xsi:type="dcterms:W3CDTF">2026-01-28T04:09:57Z</dcterms:created>
  <dcterms:modified xsi:type="dcterms:W3CDTF">2026-01-28T04:41:34Z</dcterms:modified>
</cp:coreProperties>
</file>